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https://cerveceriasalvadorena-my.sharepoint.com/personal/gjflores_cerveceria_com_sv/Documents/Descargas/"/>
    </mc:Choice>
  </mc:AlternateContent>
  <xr:revisionPtr revIDLastSave="7634" documentId="11_9248B46DC1CBB2E3ED7FF6F9903E8C1851038383" xr6:coauthVersionLast="47" xr6:coauthVersionMax="47" xr10:uidLastSave="{E2738CD8-498C-4EBF-8957-A7665D27418B}"/>
  <bookViews>
    <workbookView xWindow="-108" yWindow="-108" windowWidth="23256" windowHeight="12456" firstSheet="1" activeTab="2" xr2:uid="{00000000-000D-0000-FFFF-FFFF00000000}"/>
  </bookViews>
  <sheets>
    <sheet name="Pizarra DB" sheetId="1" r:id="rId1"/>
    <sheet name="Paros_MTTR_MTBF" sheetId="7" r:id="rId2"/>
    <sheet name="Configuracion" sheetId="8" r:id="rId3"/>
    <sheet name="Horarios Técnicos" sheetId="4" r:id="rId4"/>
    <sheet name="DB DATOS" sheetId="2" r:id="rId5"/>
    <sheet name="Hoja3" sheetId="5" state="hidden" r:id="rId6"/>
    <sheet name="Hoja1" sheetId="3" state="hidden" r:id="rId7"/>
    <sheet name="Dashboard Post-Mtto" sheetId="6" state="hidden" r:id="rId8"/>
  </sheets>
  <definedNames>
    <definedName name="SegmentaciónDeDatos_Fecha_de_programación">#N/A</definedName>
    <definedName name="SegmentaciónDeDatos_Personal">#N/A</definedName>
  </definedNames>
  <calcPr calcId="191028"/>
  <pivotCaches>
    <pivotCache cacheId="93" r:id="rId9"/>
    <pivotCache cacheId="9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8" i="1" l="1"/>
  <c r="H609" i="1"/>
  <c r="H581" i="1"/>
  <c r="H564" i="1"/>
  <c r="H576" i="1"/>
  <c r="H587" i="1"/>
  <c r="H584" i="1"/>
  <c r="H572" i="1"/>
  <c r="H563" i="1"/>
  <c r="H561" i="1"/>
  <c r="H567" i="1"/>
  <c r="H565" i="1"/>
  <c r="H562" i="1"/>
  <c r="H554" i="1"/>
  <c r="H529" i="1"/>
  <c r="H361" i="1"/>
  <c r="J23" i="2"/>
  <c r="V11" i="2"/>
  <c r="P11" i="2"/>
  <c r="J11" i="2"/>
  <c r="D30" i="2"/>
  <c r="D31" i="2"/>
  <c r="D32" i="2"/>
  <c r="F15" i="6"/>
  <c r="G15" i="6" s="1"/>
  <c r="H15" i="6" s="1"/>
  <c r="F14" i="6" a="1"/>
  <c r="B28" i="6" a="1"/>
  <c r="B27" i="6" a="1"/>
  <c r="B26" i="6" a="1"/>
  <c r="B25" i="6" a="1"/>
  <c r="H20" i="6" a="1"/>
  <c r="H19" i="6" a="1"/>
  <c r="D21" i="6" a="1"/>
  <c r="C21" i="6" a="1"/>
  <c r="D20" i="6" a="1"/>
  <c r="C20" i="6" a="1"/>
  <c r="D19" i="6" a="1"/>
  <c r="C19" i="6" a="1"/>
  <c r="B8" i="6"/>
  <c r="H8" i="6" a="1"/>
  <c r="B11" i="6" a="1"/>
  <c r="F13" i="6" a="1"/>
  <c r="F12" i="6" a="1"/>
  <c r="E8" i="6" a="1"/>
  <c r="I6" i="3"/>
  <c r="B28" i="6" l="1"/>
  <c r="B27" i="6"/>
  <c r="B26" i="6"/>
  <c r="B25" i="6"/>
  <c r="D21" i="6"/>
  <c r="C21" i="6"/>
  <c r="E21" i="6" s="1"/>
  <c r="H20" i="6"/>
  <c r="D20" i="6"/>
  <c r="C20" i="6"/>
  <c r="E20" i="6" s="1"/>
  <c r="H19" i="6"/>
  <c r="D19" i="6"/>
  <c r="D22" i="6" s="1"/>
  <c r="C19" i="6"/>
  <c r="F14" i="6"/>
  <c r="G14" i="6" s="1"/>
  <c r="H14" i="6" s="1"/>
  <c r="F13" i="6"/>
  <c r="G13" i="6" s="1"/>
  <c r="H13" i="6" s="1"/>
  <c r="F12" i="6"/>
  <c r="B11" i="6"/>
  <c r="H8" i="6"/>
  <c r="E8" i="6"/>
  <c r="F16" i="6" l="1"/>
  <c r="G12" i="6"/>
  <c r="C22" i="6"/>
  <c r="E22" i="6" s="1"/>
  <c r="E19" i="6"/>
  <c r="G16" i="6" l="1"/>
  <c r="H1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<sst xmlns="http://schemas.openxmlformats.org/spreadsheetml/2006/main" count="4238" uniqueCount="1104">
  <si>
    <t>Máquina</t>
  </si>
  <si>
    <t>Actividad</t>
  </si>
  <si>
    <t xml:space="preserve">Tipo </t>
  </si>
  <si>
    <t>Personal</t>
  </si>
  <si>
    <t>EJECUTOR</t>
  </si>
  <si>
    <t>Cant. de personas</t>
  </si>
  <si>
    <t>Tiempo estimado (h)</t>
  </si>
  <si>
    <t>Insumos</t>
  </si>
  <si>
    <t>Fecha de programación</t>
  </si>
  <si>
    <t>Duración real</t>
  </si>
  <si>
    <t>Comentarios</t>
  </si>
  <si>
    <t>Estatus</t>
  </si>
  <si>
    <t>Lavadora de botellas</t>
  </si>
  <si>
    <t>Cambio de sello mecánico de bomba tk 2</t>
  </si>
  <si>
    <t>Mecánico</t>
  </si>
  <si>
    <t>Sello mecánico 22 mm, silicón de alta temperatura</t>
  </si>
  <si>
    <t>Cerrado</t>
  </si>
  <si>
    <t>Cambio de sello mecánico de bomba tk 1</t>
  </si>
  <si>
    <t>Desecajonadora</t>
  </si>
  <si>
    <t>Cambio de pistón de freno de cajas en entrada</t>
  </si>
  <si>
    <t>Pistón DSBC-50-50</t>
  </si>
  <si>
    <t>Enderezado de canastos</t>
  </si>
  <si>
    <t>Correctivo</t>
  </si>
  <si>
    <t>Operador</t>
  </si>
  <si>
    <t>Daniel Marroquin</t>
  </si>
  <si>
    <t>Abierto</t>
  </si>
  <si>
    <t>Reemplazo de eslabones de cadena principal</t>
  </si>
  <si>
    <t>Cambio de retendores en caja reductora #1</t>
  </si>
  <si>
    <t>Retenedor 135x170x12</t>
  </si>
  <si>
    <t>Inspección de guías de deslizamiento horizontal</t>
  </si>
  <si>
    <t>Transporte</t>
  </si>
  <si>
    <t>Cambio de retenedores en motor B22</t>
  </si>
  <si>
    <t>Retenedores 50x80x10</t>
  </si>
  <si>
    <t>Cambio de retenedores en motor de rechazo</t>
  </si>
  <si>
    <t>Retenedores 45x75x8</t>
  </si>
  <si>
    <t>Anclar pasarela de paletizadora al piso</t>
  </si>
  <si>
    <t>N/A</t>
  </si>
  <si>
    <t>Pernos de expasión 5/16", broca para concreto 5/16"</t>
  </si>
  <si>
    <t>cerrado</t>
  </si>
  <si>
    <t>Llenadora</t>
  </si>
  <si>
    <t>Limpieza de tolva y carrilera de corona</t>
  </si>
  <si>
    <t>Preventivo</t>
  </si>
  <si>
    <t>Moises Navas</t>
  </si>
  <si>
    <t>Wipe, alcool/desinfectante inoloro</t>
  </si>
  <si>
    <t>Instalación de visores de nivel de tanques</t>
  </si>
  <si>
    <t>Melvin Olivorio</t>
  </si>
  <si>
    <t>12 niples1/2
3 m manguera 1/2
6 válvulas de bola 1/2
3 codos 1/2
3 Tes 1/2
6 Colas de garrobo
6 abrazaderas metálicas</t>
  </si>
  <si>
    <t>Se armó sistema de valvula para el nivel de agua de los tanques 1, 2 y 3 se observó varios niples y camisas que estaban soldados a los tanque con oxido se limpio con penetrante</t>
  </si>
  <si>
    <t>Lavadora de cajas</t>
  </si>
  <si>
    <t>Reparación de fuga de en bomba tk 2</t>
  </si>
  <si>
    <t>0.5</t>
  </si>
  <si>
    <t>Enviar motorreductor B22 a calzar alojamiento con proveedor externo</t>
  </si>
  <si>
    <t>RYSI</t>
  </si>
  <si>
    <t>Despalet 300</t>
  </si>
  <si>
    <t>Aprete de prisioneros de las catarinas de ejes de elevación</t>
  </si>
  <si>
    <t>Daniel Monterrosa, operador</t>
  </si>
  <si>
    <t>Se socaron prisioneros de catarina de elevación, se lubricó cadena de elevación y se apretaron tuercas de cadena de elevación se subió brazo de despaletizador de caja porque topaba en cabezal</t>
  </si>
  <si>
    <t>Se alineo cabeza de catarina desalineada, se alineó, se lubricó cadena de elevacion, se alineó brazo de traslación porque rozaba en cabezal de desempacadora</t>
  </si>
  <si>
    <t>Encajonadora</t>
  </si>
  <si>
    <t>Se alineo catarina y se apretaron prisioneros flojos y se lubricó cadena de elevación y guías de seguidores de levas</t>
  </si>
  <si>
    <t>Modificación de posición de brazo para sensor de posición vertical de cabezal de paletizadora</t>
  </si>
  <si>
    <t>Limpieza, lubricacion y re aprete de cadenas de rodillos en transportes de tarimas</t>
  </si>
  <si>
    <t>Santos Pineda</t>
  </si>
  <si>
    <t>Wippe, lubricante en spray</t>
  </si>
  <si>
    <t>Palet</t>
  </si>
  <si>
    <t>Armando García</t>
  </si>
  <si>
    <t>Lubricación y reaprete de guías y rodillos seguidores de levas de cabezal</t>
  </si>
  <si>
    <t>Robin Guardado</t>
  </si>
  <si>
    <t>Se completó y se termino de ajustar a 750 y se probo con envase</t>
  </si>
  <si>
    <t>Luis Ortiz</t>
  </si>
  <si>
    <t>Se realizo ajuste y lubricacion ademas se realizo colocacion de arandelas a pernos de cabezales que se encontraban flojos en desencajonadora</t>
  </si>
  <si>
    <t>Limpieza de exceso de grasa en cumaceras</t>
  </si>
  <si>
    <t>Yuvini</t>
  </si>
  <si>
    <t>Desengrasate, wippe</t>
  </si>
  <si>
    <t>Limpieza interna de barras de soda tanque #3</t>
  </si>
  <si>
    <t>Carlos Yuvini</t>
  </si>
  <si>
    <t>Agua a presión, elemento punzante</t>
  </si>
  <si>
    <t>Limpieza interna de tanque #3</t>
  </si>
  <si>
    <t>idrolavadora, químico de limpieza</t>
  </si>
  <si>
    <t>Limpieza interna de tanque #2</t>
  </si>
  <si>
    <t>Inspección de unidades de mantenimiento de aire, verificación de nivel de aceite</t>
  </si>
  <si>
    <t>Aceite ISO para vaso lubricador</t>
  </si>
  <si>
    <t>Despalet 150</t>
  </si>
  <si>
    <t>Inspección de cabezal de tulipas, verificar estado de vastagos, tornillos huecos y gomas</t>
  </si>
  <si>
    <t>Vastagos, campanas, tornillos huecos, gomas</t>
  </si>
  <si>
    <t>Se reviso todo esta en orden con el aceite y sin fugas2</t>
  </si>
  <si>
    <t>Inspector</t>
  </si>
  <si>
    <t>Fernando Chavez</t>
  </si>
  <si>
    <t>Se realizo limpieza en estacion de paso, se quitaron residuos de grasa, se limpiaron bandas azules , se lavaron con desengrasante y cepillos, se revisó el estado y se encontraron en muy buen estado, se añadio platina en tramo de transporte que hacia falta en la parte del rechazo, se realizo limpieza de espejos</t>
  </si>
  <si>
    <t>Inspección de pistones 26, 46, 29</t>
  </si>
  <si>
    <t>Luis Cornejo</t>
  </si>
  <si>
    <t>Se realizo inspeccion, no se encontro alguna anomalia</t>
  </si>
  <si>
    <t>Pasteurizador</t>
  </si>
  <si>
    <t xml:space="preserve">Leonel </t>
  </si>
  <si>
    <t>Se realizo llenado de vasos de unidad de mantenimiento</t>
  </si>
  <si>
    <t>Limpieza general de máquina</t>
  </si>
  <si>
    <t xml:space="preserve">Wipe de tela, alcool/solvente </t>
  </si>
  <si>
    <t>Se reviso estado de unidad de mantenimiento junto a Bryan Iglesias y se limpio filtro</t>
  </si>
  <si>
    <t>Inspeccion cilindros elevadores 26, 29 y 47</t>
  </si>
  <si>
    <t>Wipe, llaves mixtas</t>
  </si>
  <si>
    <t>Inspeccion a piston 47 y 54, retenedores superiores dañados, se les hizo limpieza, pendiente cambiarlos</t>
  </si>
  <si>
    <t>Limpieza profunda de máquina</t>
  </si>
  <si>
    <t>Orden realizada</t>
  </si>
  <si>
    <t>Etiquetadora</t>
  </si>
  <si>
    <t>Inspeccion de unidades de mantenimiento de aire, verificacion de nivel de aceite</t>
  </si>
  <si>
    <t>Inspector de etiqueta</t>
  </si>
  <si>
    <t>Se completo limpieza de grasa dañada por nueva</t>
  </si>
  <si>
    <t>Se completó limpieza general, se completaron los 4 cabezales que se encontraban desarmados se reemplazaron los 40 pernos de sujecion y se cambiaron tulipas ya que las originales no tenian o rings</t>
  </si>
  <si>
    <t>Cambiar grapas de banda engomada de volteador de cajas</t>
  </si>
  <si>
    <t>Grapas Alligator, martillo</t>
  </si>
  <si>
    <t>*Limpieza de cadenas tramo C</t>
  </si>
  <si>
    <t>Aux 1 y Aux 2</t>
  </si>
  <si>
    <t>Agua, idrolavadora, botador cilindrico, jabón</t>
  </si>
  <si>
    <t>Limpieza de cadenas tramo H</t>
  </si>
  <si>
    <t>*Limpieza de cadenas tramo F</t>
  </si>
  <si>
    <t>Mantenimiento a rodillos tensores de cadenas tramo H</t>
  </si>
  <si>
    <t>Desengrasante, WD-40</t>
  </si>
  <si>
    <t>Se realizo mantenimiento a los rodillos de cadena se encontraron algunos rodillos pegados se le aplico WD-40</t>
  </si>
  <si>
    <t>Instalación de válvulas de asiento inclinado de 1-1/2"</t>
  </si>
  <si>
    <t>Jeremías Miranda</t>
  </si>
  <si>
    <t>Niples de 1 1/2" NPT</t>
  </si>
  <si>
    <t xml:space="preserve">*Inspeccion para limpieza de serpentines de vapor </t>
  </si>
  <si>
    <t>*Mantenimiento a serpentines de vapor, se debe realizar limpieza externa</t>
  </si>
  <si>
    <t>Quimico para limpiar incrustaciones, cepillos de alambres y limpia pipas de alambre</t>
  </si>
  <si>
    <t>Desconexion y re conexión de bomba de soda TK 3</t>
  </si>
  <si>
    <t>Electricista</t>
  </si>
  <si>
    <t>Fernando Contreras</t>
  </si>
  <si>
    <t>Se desconecto bomba y se volvio a conectar despues de que la revisaron</t>
  </si>
  <si>
    <t>Orden de cables dentro de JB paletizadora</t>
  </si>
  <si>
    <t>René</t>
  </si>
  <si>
    <t>Ordenamiento de cables dentro de JB despaletizadora de cajas</t>
  </si>
  <si>
    <t>Cinchos plásticos, señalizaciones</t>
  </si>
  <si>
    <t>Se realizo reordenamiento de cables en JB1 de despalet de botellas, despalet de cajas y paletizadora, queda en las mejores condiciones posibles</t>
  </si>
  <si>
    <t>Cambio de sello mecánico de bomba de soda TK 3</t>
  </si>
  <si>
    <t>Daniel Monterrosa</t>
  </si>
  <si>
    <t>sello mecánico de fuelle 22 mm carbono/cerámica/Buna</t>
  </si>
  <si>
    <t>Se instalo sello mecanico  y se instalo bomba de lavadora de botella y se conecto se hicieron pruebas y siguio fugando bomba de lavadora de tanque 3</t>
  </si>
  <si>
    <t xml:space="preserve">Añadir dreno en entrada principal de vapor </t>
  </si>
  <si>
    <t xml:space="preserve">Tee de inoxidable, 2 niples, codo y válvula de 1/2 </t>
  </si>
  <si>
    <t>Se instalo una valvula de bola para dreno, se utilizó camisas y niples de 1/2 y se coloco nuevo teflon en algunos acoples</t>
  </si>
  <si>
    <t>*Inspección y limpieza de guías de malla transportadora de pasteurizador</t>
  </si>
  <si>
    <t>Agua, químico de limpieza, cepillos</t>
  </si>
  <si>
    <t>Realizar modificación en tolva para que la basura se recepcione correctamente en el basurero</t>
  </si>
  <si>
    <t>Lámina de acero inoxidable, electrodos, aparato de soldar</t>
  </si>
  <si>
    <t>Fijar posición de cepillos y soportes 750 aplicando loctitte azul a los tornillos</t>
  </si>
  <si>
    <t>Byron Ramos</t>
  </si>
  <si>
    <t>Loctite 242 (Azul)</t>
  </si>
  <si>
    <t>Conexión de donas eléctricas en gabinete de mezanine de envasado 440V</t>
  </si>
  <si>
    <t>Montaje de pulmón de aire para etiquetadora</t>
  </si>
  <si>
    <t>Girar chumacera de transporte de entrada a secador para que la grasera quede en posición de poder engrasar</t>
  </si>
  <si>
    <t>Emilio Siguenza</t>
  </si>
  <si>
    <t>Se realizo el giro sin inconvenientes se lubrico cadena de transmisión y se realizo giro de puntos de lubricacion</t>
  </si>
  <si>
    <t>Darle vuelta en sentido correcto a valvula proporcional</t>
  </si>
  <si>
    <t>Calibrar válvula proporcional del economizador</t>
  </si>
  <si>
    <t>Andrea Castro</t>
  </si>
  <si>
    <t>Pinza amperimétrica Fluke</t>
  </si>
  <si>
    <t>Se tiro y conecto cable de señales de referencia que hacia falta al actuador, se hizo la revision y el actuador funcionaba en manual pero no se realizó prueba en automatico, se comenzo calibración pero fallo y se dejo igual que como estaba</t>
  </si>
  <si>
    <t>Lubricacion de distribuidor, pistones elevadores, chumacera de transporte de entrada y salida</t>
  </si>
  <si>
    <t>Grasas para lubricación</t>
  </si>
  <si>
    <t>Se realizo engrase general de llenadora con sus grasas correspondientes</t>
  </si>
  <si>
    <t xml:space="preserve">Colocar tapones en agujeros de termopozos </t>
  </si>
  <si>
    <t>Tapones ciegos de 1/2"</t>
  </si>
  <si>
    <t>Colocar tapón para recuperar válvula de 1/2" en intercambiador de vapor</t>
  </si>
  <si>
    <t>William Canizalez</t>
  </si>
  <si>
    <t>Tapón ciego de 1/2"</t>
  </si>
  <si>
    <t>Desconexion de presostato de vapor en entrada principal</t>
  </si>
  <si>
    <t xml:space="preserve">Aislar presostato de vapor en entrada principal </t>
  </si>
  <si>
    <t>1 Niple de 1/2"
1 Válvula de 1/2"</t>
  </si>
  <si>
    <t>Calibrar sensor de presión de agua en tubería de entrada</t>
  </si>
  <si>
    <t xml:space="preserve">Mover escalera 30 cm adelante </t>
  </si>
  <si>
    <t>8 pernos de expansión de 1/2"
1 broca de concreto de 1/2"</t>
  </si>
  <si>
    <t>No se realizo por falta de items</t>
  </si>
  <si>
    <t>Re apriete de pernos de cabezal #2</t>
  </si>
  <si>
    <t>*Posicionar sonda de nivel en tanques 10 cm abajo</t>
  </si>
  <si>
    <t>2 Camisa inox de 1/2"
2 Tapón de 3/4"</t>
  </si>
  <si>
    <t xml:space="preserve">Reparación de malla superior </t>
  </si>
  <si>
    <t>Electrodo, almadana</t>
  </si>
  <si>
    <t>Fabricacion de soporte para peine de aire</t>
  </si>
  <si>
    <t>electrodo, tubo, peine, racor, manguera</t>
  </si>
  <si>
    <t>Instalación de filtro regulador neumatico para peine</t>
  </si>
  <si>
    <t>Reductor, filtro regulador midi</t>
  </si>
  <si>
    <t>No hubo retroalimentacion</t>
  </si>
  <si>
    <t>General</t>
  </si>
  <si>
    <t>Limpieza de paneles en mezzanine</t>
  </si>
  <si>
    <t>Brocha, limpiador de contactos, wipe de tela, pines, cinchas plasticas</t>
  </si>
  <si>
    <t>Se limpio con limpiador de contacto y wipe y se pusieron tapaderas respectivas en cada uno</t>
  </si>
  <si>
    <t>Limpieza de tramo F</t>
  </si>
  <si>
    <t>Limpieza de tramo I</t>
  </si>
  <si>
    <t>Leonel Vasquez</t>
  </si>
  <si>
    <t>Limpieza de tramo D</t>
  </si>
  <si>
    <t>Limpieza de tramo C</t>
  </si>
  <si>
    <t>Limpieza de canaletas de todo el transporte y de drenajes desde despalet 150 hasta lavadora de botellas</t>
  </si>
  <si>
    <t>Javier Cortez</t>
  </si>
  <si>
    <t>Limpieza de tramo H</t>
  </si>
  <si>
    <t>René Rodriguez</t>
  </si>
  <si>
    <t>Se realizo limpieza y orden de tableros del area del mezzanine. se enviaron fotos al grupo</t>
  </si>
  <si>
    <t>Mantenimiento a rodillos tensores de cadenas tramo salida de pasteurizador</t>
  </si>
  <si>
    <t>Se revisaron rodillos de transporte de cadena tensores, todos estaban buenos no están pegados ni duros, se re apretaron balancines de sensores que estaban flojos y se alinearon los que estaban torcidos</t>
  </si>
  <si>
    <t>Instalación de muebles para taller</t>
  </si>
  <si>
    <t>Mejora</t>
  </si>
  <si>
    <t>Taladro, Anclas para tablaroca, tornillos</t>
  </si>
  <si>
    <t>Faltaron insumos</t>
  </si>
  <si>
    <t>Instalacion de seguro en motor salida de lavadora a inspector</t>
  </si>
  <si>
    <t>Seguro, pinza quita seguros</t>
  </si>
  <si>
    <t>Despalet de cajas</t>
  </si>
  <si>
    <t>Modificacion de baranda lateral de mesa giratoria de cajas</t>
  </si>
  <si>
    <t>Taladro, machuelo</t>
  </si>
  <si>
    <t>Se machuelio ya que la tuerca estaba sobada y se instalaron pernos nuevos y quedo fija la guarda y se fijo baranda de seguridad de maquina ya que estaba floja se hicieron bases para instalar</t>
  </si>
  <si>
    <t>Inspector de nivel de botella llena</t>
  </si>
  <si>
    <t>Orden y limpieza de panel de control de transporte</t>
  </si>
  <si>
    <t>Se ordenó y limpio todo y se pusieron sus tapaderas</t>
  </si>
  <si>
    <t>Orden y limpieza de panel de mando en etiquetadora</t>
  </si>
  <si>
    <t xml:space="preserve">Revisión de Sprocket motor #2 </t>
  </si>
  <si>
    <t>Saca pin, martillo, sprocket Z21</t>
  </si>
  <si>
    <t>Los sprocket estaban en buen estado, el eje se habia movido, desmontamos cadenas y alineamos sprocket y eje dejando todo en su lugar, se cargo el transporte con envase Regia 330ml y funciono bien</t>
  </si>
  <si>
    <t>Verificación de tags de motor con CCM</t>
  </si>
  <si>
    <t>Cinta aislante, marcador, planos electricos</t>
  </si>
  <si>
    <t>Se identificaron la mayoria y se vio falla de la ultima vez y se resolvió con ayuda de Mayron y Raul, se necesita etiquetadora para poner respectiva numeración</t>
  </si>
  <si>
    <t>Despalet de botellas</t>
  </si>
  <si>
    <t>Modificación de topes de regia 750ml</t>
  </si>
  <si>
    <t xml:space="preserve">Taladro de banco, topes de Regia 750, broca </t>
  </si>
  <si>
    <t>No se realizo modificación en topes ya que se hizo una mejor inspeccion de la falla y se ajustaron guias de transporte y sensores de parada de tarima, se ajustaron presiones de aire tambien se anclo tope de tarima en area de carga</t>
  </si>
  <si>
    <t>Modificacion de soportes de sensor en centrador</t>
  </si>
  <si>
    <t>Perfiles acero inox, pulidora, aparato de soldar</t>
  </si>
  <si>
    <t>Se modifico soporte de platina hacia un lado para utilizar solo agujero de platina y asi poder utilizar perno con tuerca en vez de base con rosca</t>
  </si>
  <si>
    <t>Modificación de altura de guia blanca en transporte de tarima</t>
  </si>
  <si>
    <t>Lainas de acero inox, pulidora, aparato de soldar</t>
  </si>
  <si>
    <t>Se colocaron alzas para subir guias de transporte de palet, se ancló tope de palet en sector terminal de carga, se probó palet 150 y no dio problema</t>
  </si>
  <si>
    <t>Montaje de nuevo soporte para sensor de Videojet</t>
  </si>
  <si>
    <t>Pulidora, broca, perneria, sensor</t>
  </si>
  <si>
    <t>Se fabricaron nuevas bases para soporte de sensor y se perforó agujero chino para tener mejor calibracion de sensores</t>
  </si>
  <si>
    <t>Conexion de sensor FDC NPN</t>
  </si>
  <si>
    <t>Cinta aislante, sensor NPN</t>
  </si>
  <si>
    <t>Se dejó puesto sensor pero no se terminó por pruebas de etiquetadora ya quedo listo para ajustar altura</t>
  </si>
  <si>
    <t>Wipe, alcohol 70</t>
  </si>
  <si>
    <t>Wipe, grasa para seguidores de leva</t>
  </si>
  <si>
    <t>Se re apreto todos los pernos y se lubricó cadenas</t>
  </si>
  <si>
    <t>Erick Luna</t>
  </si>
  <si>
    <t>Se realizó lubricacion de cadenas de transporte de tarimas, tambien se lubrico los rodos de la mesa</t>
  </si>
  <si>
    <t>No se realizo por falta de tiempo</t>
  </si>
  <si>
    <t>Se hizo limpieza de grasa de cabezal de maquina y despues se volvio a engrasar correctamente, tambien se realizo un re apriete de tuercas de brazo desplazador</t>
  </si>
  <si>
    <t>Se realizo re aprete y limpieza de grasa más lubricación de guias y rodillos</t>
  </si>
  <si>
    <t>Lubricacion semanal de llenadora</t>
  </si>
  <si>
    <t>Grasas Celerol, Wipe de tela</t>
  </si>
  <si>
    <t>Juego de llaves mixtas, juego de llaves Allen</t>
  </si>
  <si>
    <t>no se realizo por falta de tiempo ya que se realizo aprete de pernos de rodillos de todas las mesas y de transporte de tarimas se lubricaron cadenas tambien y por la tarde se estuvo haciendo pruebas en la despalet de botellas</t>
  </si>
  <si>
    <t>Trabajo realizado</t>
  </si>
  <si>
    <t>Montaje de enfiladores nuevos San Martin</t>
  </si>
  <si>
    <t>Juego de llaves mixtas, lima plana, pulidora</t>
  </si>
  <si>
    <t>Se apoyó a los compañeros operadores colocando los enfiladores nuevos se colocaron segun diagrama que nos proporcionó Luis Cabrera</t>
  </si>
  <si>
    <t>Inspección de motor B23</t>
  </si>
  <si>
    <t>Juego botador cilindrico, martillo de bola, juego de llaves mixtas</t>
  </si>
  <si>
    <t>Se desmonto el motor para poder mover el eje ya que se habia desplazado un poco se apretaron los prisioneros ya que estaban flojos, colocando en su puesto el eje</t>
  </si>
  <si>
    <t xml:space="preserve">Llaves Allen, fijador de rosca, wipe </t>
  </si>
  <si>
    <t>Se hizo un re aprete de tornillos y tuercas de prisioneros</t>
  </si>
  <si>
    <t>EBI</t>
  </si>
  <si>
    <t xml:space="preserve">Instalación de aclimatador nuevo en panel de potencia </t>
  </si>
  <si>
    <t>Revisión de JOG de seguridad y sensor de enclavamiento de compuertas</t>
  </si>
  <si>
    <t>Andrea Cruz</t>
  </si>
  <si>
    <t>Revisión de balancines en tramo H e I</t>
  </si>
  <si>
    <t>Lavadora de Cajas</t>
  </si>
  <si>
    <t>Instalar tapadera de motor de bomba de lavadora de cajas</t>
  </si>
  <si>
    <t>Soldar eslabones sueltos en malla de cama superior</t>
  </si>
  <si>
    <t>Se realizo la soldadura de eslabones de malla, unicamente uno no se pudo rescatar por lo tanto se soldo directamente a la base del candado</t>
  </si>
  <si>
    <t xml:space="preserve">Inspección de sprockets y re apriete de guías en tramo H </t>
  </si>
  <si>
    <t>Nestor Rivera</t>
  </si>
  <si>
    <t>Colocar tapa en todas las canaletas de la línea</t>
  </si>
  <si>
    <t>Lavadora de Botellas</t>
  </si>
  <si>
    <t>Inspección de nivel de aceite en cajas reductoras principales de máquina</t>
  </si>
  <si>
    <t>Corte de guías de levas de descarga</t>
  </si>
  <si>
    <t>Inspección de sprockets y re apriete de guías en tramo I</t>
  </si>
  <si>
    <t>Inspección de nivel de aceite de motorreductores tramo A, C y D</t>
  </si>
  <si>
    <t>Limpieza externa de bombas #1, #2 y #3 de tanques de soda</t>
  </si>
  <si>
    <t>Inspección de nivel de aceite de motorreductores tramo F</t>
  </si>
  <si>
    <t>Instalación de balancines en tramo de bajada de paster a entrada de ETQ</t>
  </si>
  <si>
    <t>Inspección de cadena, sprockets, guías y balancines en tramo I y J</t>
  </si>
  <si>
    <t xml:space="preserve">Instalación de conexión Tee en toma de agua </t>
  </si>
  <si>
    <t>Instalación de flauta sopladora de collarín de Regia (Preguntar a Mario Escalante)</t>
  </si>
  <si>
    <t>Paletizadora</t>
  </si>
  <si>
    <t>Cambiar manómetro de unidad de mantenimiento</t>
  </si>
  <si>
    <t xml:space="preserve">Inspeccion de mallas extractoras de etiqueta </t>
  </si>
  <si>
    <t>Se revisaron mallas de lavadora, tanque #1, #2 y #4 esta en buen estado, eslabones, malla, piñones y candados.
Malla del tanque #3 necesita tensar por bolsa que se le hace, no se puede tensar porque el tensor ya topo y hay que cortar cadena para poder cortar, hacen falta candados</t>
  </si>
  <si>
    <t>Cambio de guias de desliz de malla extractor #1</t>
  </si>
  <si>
    <t>Quedará pendiente programación, necesario conseguir medio candados</t>
  </si>
  <si>
    <t>Fabricación de tope de mesa de descarga (Preguntar a Erick Lopez)</t>
  </si>
  <si>
    <t>Se fabricó tope para cajas, tambien hay bases para empernar ya queda instalado</t>
  </si>
  <si>
    <t>Arreglar guía de baranda y soldar unión de baranda en entrada a pasteurizador en motor B26</t>
  </si>
  <si>
    <t>Rectificar, colocar tapas y limpiar canaletas de línea vidrio</t>
  </si>
  <si>
    <t xml:space="preserve">Colocar sensor nuevo en entrada a pasteurizador cama superior y verificar que no quede expuesto </t>
  </si>
  <si>
    <t>Sensores se instalaron en la malla inferior, se les colocó silicon rojo a ambos, se cambiaron los sensores de la encajonadora para utilizarlos en el pasteurizador, se realizaron varias pruebas con diferentes sensores para ver si funcionaban. Ya no hay sensores de ese tipo para reemplazar</t>
  </si>
  <si>
    <t>Inspección de estado de unidad de mantenimiento</t>
  </si>
  <si>
    <t>La unidad se encontro en funcionamiento sin fugas</t>
  </si>
  <si>
    <t>Limpieza de canaletas superior en lavadora de botellas</t>
  </si>
  <si>
    <t>Colocar bulones a peines faltantes y montarlos en máquina</t>
  </si>
  <si>
    <t>Que se programe el enderezado de los canastos que estan pandos para la instalación en la máquina</t>
  </si>
  <si>
    <t>Realizar pruebas con enguiador de botellas en mesa de entrada</t>
  </si>
  <si>
    <t>Se probo la mesa de carga con envase para hacerle las pruebas en enguiador de botellas de entrada LVB</t>
  </si>
  <si>
    <t>Inspeccionar y re apretar prisioneros de catarinas de carro de elevación</t>
  </si>
  <si>
    <t>Se revisaron prisioneros de catarinas de elevacion</t>
  </si>
  <si>
    <t>Elias Shico</t>
  </si>
  <si>
    <t>Se verifico aprietes de prisioneros de caratina y se encontraron en buen estado</t>
  </si>
  <si>
    <t>Erick Lopez</t>
  </si>
  <si>
    <t>Engrase de seguidores de leva en carro de desplazamiento vertical y horizontal</t>
  </si>
  <si>
    <t>Se realizo limpieza de despaletizadora de botellas de cabezal y de guias de estructura se utilizo espatula para remover grasa sucia y todo residuo que tenia despues se le aplico desengrasante y se limpio con wipe</t>
  </si>
  <si>
    <t>Se limpio con wipe y desengrasante toda las guias de cabezal de la despalet de botella con espatula se quito todos los excesos de grasa
Se lubrico cadenas de desplazamiento del cabezal y se verifico el apriete de prisioneros de catarina</t>
  </si>
  <si>
    <t>Se realizo cambio en desenca de grasa mala por grasa buena, se lubricaron y se apretaron pernos para una mayor seguridad en la hora de operar la máquina</t>
  </si>
  <si>
    <t>Desencajonadora</t>
  </si>
  <si>
    <t>Se realizo cambio de grasa mala por grasa buena y se realizo limpieza de vidrio quebrado que se encontraba debajo de la maquina y se apretaron pernos para mayor seguridad para el operador</t>
  </si>
  <si>
    <t>Re apriete de pernos de cabezal de tulipas</t>
  </si>
  <si>
    <t>Se realizo cambio de desenca de 750 a 330 se repararon fugas en cabezales de bastagos quebrados pernos de sujeción quebrados</t>
  </si>
  <si>
    <t>Se realizo reparación de fugas de vastagos y pernos de sujeción quebrados se repararon mangueras de aire cortadas y se completaron cabezales desarmados</t>
  </si>
  <si>
    <t>Moises / Robin</t>
  </si>
  <si>
    <t>Overhaul a pistones elevadores estacion de llenado 1 - 5</t>
  </si>
  <si>
    <t>Se debe de reprogramar</t>
  </si>
  <si>
    <t>Revisión de alimentacion y estado de electrovalvula de paso de agua de pinzas de rinser</t>
  </si>
  <si>
    <t>Modulo de valvulas neumaticas AS-i</t>
  </si>
  <si>
    <t>Enderezado de canastos faltantes en lavadora y montar en máquina</t>
  </si>
  <si>
    <t>Bulones M12</t>
  </si>
  <si>
    <t xml:space="preserve">Se realizó enderezado de peines que se encontraba desalineado ademas se cambiaron espárragos que se encontraron con desgaste lo que provocaba que los canastos se desalinearan por lo cual se pandean se trabajaron 12 canastos </t>
  </si>
  <si>
    <t>En proceso</t>
  </si>
  <si>
    <t>Cambio de retenedores para motores B05, B09, B10, B44, C09, C17 y C18</t>
  </si>
  <si>
    <t>No se realizó por falta de repuestos</t>
  </si>
  <si>
    <t>Cambio de aceite general de motorreductores de transporte de botellas</t>
  </si>
  <si>
    <t>Aceite Mobil 220</t>
  </si>
  <si>
    <t>Inspeccion de tuberías, empaques de juntas y duchas de tanque #5</t>
  </si>
  <si>
    <t>Modificación de guía de entrada en pasteurizador por botellas caídas</t>
  </si>
  <si>
    <t>Despalet de caja</t>
  </si>
  <si>
    <t>Inspección de atascos de rodillos mesa de descarga</t>
  </si>
  <si>
    <t xml:space="preserve">Colocación de punteras a canastos </t>
  </si>
  <si>
    <t xml:space="preserve">No se puso ninguna puntera de los nuevos porque no son de las medidas adecuadas
Se fue extrayendo punteras de los peines que tenemos en mal estado para ir cubriendo el deficit </t>
  </si>
  <si>
    <t>Revisión de válvulas mariposa de drenos LVB</t>
  </si>
  <si>
    <t>Instalación de sensores de puerta AS-i</t>
  </si>
  <si>
    <t>1.5</t>
  </si>
  <si>
    <t>Se puso un sensor de la puerta entrada del rinser y se confirmo que quedara bien
Se intentó poner maestro AS-i pero no se pudo se intento con ayuda de Josue Sinergia y Carrillo pero queda pendiente
Queda pendiente poner las demas puertas por tema de ajuste en llenadora</t>
  </si>
  <si>
    <t>Rebaje de borde de placa de protección de caja reductora de tornillo sinfin</t>
  </si>
  <si>
    <t>Se realizó un desgaste tipo bisel a uno de los perfiles de la placa rectangular</t>
  </si>
  <si>
    <t>Revisión de freno de motor elevador de carrusel superior de coronador</t>
  </si>
  <si>
    <t>Eléctrico</t>
  </si>
  <si>
    <t xml:space="preserve">Revisión de ruedas de retorno en transporte de motor B25 y B26 </t>
  </si>
  <si>
    <t>Revisión de sensor de nivel de tanques de lavadora de botella</t>
  </si>
  <si>
    <t>Se cambió la posción de los cables de conexión de los sensores, actualmente los tanques estan llenos y se muestran como tal. Las borneras no estan dañadas y el cable se encuentra en buen estado.</t>
  </si>
  <si>
    <t>Limpieza y lubricación de cadena de rodillos de transporte de tarimas</t>
  </si>
  <si>
    <t>* Se limpio el transporte de tarimas, se desengraso la cadena que arrastra los rodillos, ocupando desengrasante y wipe dejando limpio, luego se le aplicó lubricantes SLM2-5
* Se limpió guía de cabezal y se engrasó</t>
  </si>
  <si>
    <t>Limpieza y lubricación de guías de deslizamiento de rodillos seguidores de leva de cabezal</t>
  </si>
  <si>
    <t>Se quitó grasa vieja ocupando wipe, desengrasante y una espátula luego se aplicó grasa nueva y se lubricó guías de deslizamiento del cabezal</t>
  </si>
  <si>
    <t>Revisión de fugas en cabezales de tulipas Regia 750ml</t>
  </si>
  <si>
    <t>Apriete de tuercas de sujeción de vástagos en cabezales de Regia 750ml</t>
  </si>
  <si>
    <t xml:space="preserve">Revisión de conectores de sensores y borneras en paneles Electricistas </t>
  </si>
  <si>
    <t>Se realizo limpieza en paneles Electricistas de JB1 de cada tramo de transporte y sus sensores.
Se utilizo limpiador de contacto</t>
  </si>
  <si>
    <t>Inspector de envase</t>
  </si>
  <si>
    <t>Limpieza de vidrios protectores, espejos de reflexión y poleas de correa</t>
  </si>
  <si>
    <t>Fernando chavez</t>
  </si>
  <si>
    <t>Se realizo inspeccion visual pero es necesario limpiarlo con paños de microfibra</t>
  </si>
  <si>
    <t>Inspeccionar correas de transporte</t>
  </si>
  <si>
    <t>Se desmontaron correas de estación de paso
Se lavaron con agua, desengrasante y cepillo para extraer la grasa y suciedad
Se secaron y luego se lubricaron con grasa krones 7007
Se montaron
Se revisaron y se observan en buen estado</t>
  </si>
  <si>
    <t xml:space="preserve">Limpieza e inspección de sensores y conectores </t>
  </si>
  <si>
    <t>Se realizo limpieza en paneles Electricistas de JB1 de cada transporte y sensores.
Se utilizo limpiador de contacto</t>
  </si>
  <si>
    <t>Inspeccionar el nivel de lubricante del engrasador</t>
  </si>
  <si>
    <t>0.15</t>
  </si>
  <si>
    <t>Se limpió y lubricó cadena principal de conjunto de accionamiento de fajas de estacion de paso</t>
  </si>
  <si>
    <t>Lubricación de placa central de boquillas de engrase</t>
  </si>
  <si>
    <t>Reemplazo de componentes de cilindros elevadores 1-5</t>
  </si>
  <si>
    <t>Revisión de sensores de temperatura en tanques de calentamiento</t>
  </si>
  <si>
    <t>Se revisa la resistencia de los sensores de temperatura, todos marcaron 112 ohm</t>
  </si>
  <si>
    <t xml:space="preserve">Revisión de grasa en baleros principales de malla </t>
  </si>
  <si>
    <t>Inspección de tuberías de lluvias</t>
  </si>
  <si>
    <t>Se realizó inspección de tubería de tanque 5 y duchas por baja presión de agua encontrando que habia un trapo obstruido.
Se ajustó transporte para Regia 750
Se lavaron los inyectores de la lavadora de cajas y se les dio mantenimiento a cada uno</t>
  </si>
  <si>
    <t>Limpieza de almohadillas, cilindros de transferencia y tulipas de carrusel</t>
  </si>
  <si>
    <t>Se realizo limpieza inspeccion y lubricacion a cilindros de transferencia, encontrando las esponjas con desgaste se procedió a realizar una capa con silicón rojo para alargar la vida util, se realizó lubricación de cilindro de transferencia hasta sacar grasa sucia, se lubricaron resortes de leva interna y resortes externos.
Se realizo inspeccion a palpadores, encontrado palpadores de collarín rasgados de un mismo lado, se verificó que estuvieran pegados y queda pendiente pedir repuestos.
Cepillos se encuenran en condiciones aceptables</t>
  </si>
  <si>
    <t xml:space="preserve">Inspección de sistema de lubricación automatico </t>
  </si>
  <si>
    <t xml:space="preserve">Lubricación de eje motriz de tornillo sinfin de entrada </t>
  </si>
  <si>
    <t>Edwin Carcamo</t>
  </si>
  <si>
    <t>Se desmontó tornillo sinfin.
Se inspeccionó si presentaba daño el Nylon
Se lubrico Cardan manualmente con gracera debido a que maquina no hacia su ciclo automatizado de lubricación y engrase.
Se limpio exceso de grasa vieja y se rellenó con grasa nueva.
El trabao fue realizado bajo supervisión de Mario Escalante y también se encontro desgaste en manguito rotador de tornillo sinfin</t>
  </si>
  <si>
    <t>Se revisaron sensores de la empacadora, los sensores estan en funcionamiento, solamente un sensor de posición de pistón no funciona y se encuentra puenteado, el piston es del centrador de cajas.</t>
  </si>
  <si>
    <t>Armando Garcia</t>
  </si>
  <si>
    <t>Se limpio cadenas de transporte con brocha y desengrasante, se engraso y se verifico que los piñones estuvieran alineado con las cadenas.</t>
  </si>
  <si>
    <t>Se removió la grasa en mal estado con espatula y wipe luego se engrasó de nuevo
Se lavo las cadenas internas del cabezal con broca y desengrasante para posteriormente engrasar de nuevo</t>
  </si>
  <si>
    <t>Inspeccion de balancines y transportadores tramo despalet botella - EBI</t>
  </si>
  <si>
    <t>Inspeccion de balancines y transportadores tramo de EBI - PTZ</t>
  </si>
  <si>
    <t>Enderezado de 32 canastos torcidos y cambio de espárragos</t>
  </si>
  <si>
    <t>9 horas</t>
  </si>
  <si>
    <t>Se realizo el enderezado de 23 cangilones y se inspeccionaron todos los de la maquina, solo queda pendiente punteras</t>
  </si>
  <si>
    <t>EN PROCESO</t>
  </si>
  <si>
    <t>Enderezar 6 canastos torcidos fuera de la máquina</t>
  </si>
  <si>
    <t>Emilio / Jeremías</t>
  </si>
  <si>
    <t>Lubricación de eje excéntrico de tornillo sinfín</t>
  </si>
  <si>
    <t>Cárcamo</t>
  </si>
  <si>
    <t>2 horas</t>
  </si>
  <si>
    <t>Se realizo inspeccion y limpieza en eje motriz de tornillo sinfin y en eje de cardan encontrado en el eje de la salida de la etiquetadora exceso de moho, se limpio y lijo para lubricarlo y alargar la vida de este</t>
  </si>
  <si>
    <t>CERRADO</t>
  </si>
  <si>
    <t>Engrase de sistema de accionamiento principal</t>
  </si>
  <si>
    <t>Soldar plataforma de tanques de enjuague final</t>
  </si>
  <si>
    <t>Encajonador</t>
  </si>
  <si>
    <t>Colocar tuercas de seguridad a espárragos de marco centrador</t>
  </si>
  <si>
    <t>0.25</t>
  </si>
  <si>
    <t>No se realizo porque se necesitan tuercas M12 paso 1.25</t>
  </si>
  <si>
    <t>Desencajonador</t>
  </si>
  <si>
    <t>Anclar guarda de seguridad perimetral</t>
  </si>
  <si>
    <t>Inspeccionar válvula de vaciado de tanque de soda</t>
  </si>
  <si>
    <t>Revisar tramo de rechazo por qué no se puede ajustar</t>
  </si>
  <si>
    <t>AGUJERO PASADO A TORNILLO SINFIN PARA APRETAR MANGUITO 750</t>
  </si>
  <si>
    <t>PREVENTIVO</t>
  </si>
  <si>
    <t>SERVICIO EXT</t>
  </si>
  <si>
    <t>Despaletizadora 150</t>
  </si>
  <si>
    <t>LIMPIEZA Y LUBRICACIÓN GUIAS DE SEGUIDOR LEVA CABEZAL</t>
  </si>
  <si>
    <t>Reprogramado</t>
  </si>
  <si>
    <t>LIMPIEZA Y LUBRICACIÓN DE RODILLOS TRANSP TARIMAS</t>
  </si>
  <si>
    <t>INSPECCION SISTEMA NEUMATICO CABEZAL</t>
  </si>
  <si>
    <t>Electrico</t>
  </si>
  <si>
    <t>1.5 horas</t>
  </si>
  <si>
    <t>Se encontro fuga en el racor de uno de los cilindros y se realizo el cambio correspondiente, también se re apretó silenciador</t>
  </si>
  <si>
    <t>Despaletizadora 300</t>
  </si>
  <si>
    <t>1 hora</t>
  </si>
  <si>
    <t>Se re apretaron racores de cilindro del centrador de despalet de botellas y se les coloco teflon</t>
  </si>
  <si>
    <t>Se hizo ajuste a transporte de tarima y se limpio</t>
  </si>
  <si>
    <t>INSPECCION SISTEMA NEUMATICO EMPUJADOR DE CAJAS Y TOPES</t>
  </si>
  <si>
    <t>Se cambio racor de cilindro del empujador porque presentaba fugas y se realizo re aprete del otro racor</t>
  </si>
  <si>
    <t>Desempacadora</t>
  </si>
  <si>
    <t>Revisión de fugas en cabezales de tulipas Suprema 330ml</t>
  </si>
  <si>
    <t>5 horas</t>
  </si>
  <si>
    <t>Apriete de tuercas de sujeción de vástagos en cabezales de Suprema 330ml</t>
  </si>
  <si>
    <t>2 HORAS</t>
  </si>
  <si>
    <t>Se re apretó mangueras de cada uno y los de tope de entrada y salida de caja estaban flojos y quedaron ajustados</t>
  </si>
  <si>
    <t>4 horas</t>
  </si>
  <si>
    <t>Se utilizó teflon para tapar fugas en conectores de pistones de cabezales y se apreto mangueras ya que tenian fuga quedo completo</t>
  </si>
  <si>
    <t>1.3 horas</t>
  </si>
  <si>
    <t>Se limpió cuidadosamente todos los espejos y camaras con toalla de microfibra</t>
  </si>
  <si>
    <t>3 horas</t>
  </si>
  <si>
    <t>Se lavaron las correas de estacion de paso con cepillo y desengrasante para quitar el exceso de grasa</t>
  </si>
  <si>
    <t xml:space="preserve">INSPECCION SISTEMA NEUMATICO </t>
  </si>
  <si>
    <t>Se limpio con desengrasante cada una y se vieron mangueras y se encuentran en buen estado</t>
  </si>
  <si>
    <t>LIMPIEZA Y LUBRICACION SISTEMA DE ACC</t>
  </si>
  <si>
    <t>Se limpio y lubrico cadena principal, se limpio toda la superficie exterior con Ecoshine y usando lija 1000 para remover el exceso de oxido, se limpio desde el inspector hacia llenadora y parte superior de transporte</t>
  </si>
  <si>
    <t>Revisión freno motor cabezal coronador</t>
  </si>
  <si>
    <t>Se rearmó el feno ya que se le habia quitado un componente, se calibro y se probó queda funcionando correctamente, todos los componentes electricos se encuentran en buen estado</t>
  </si>
  <si>
    <t xml:space="preserve">Lubricación quincenal </t>
  </si>
  <si>
    <t>Mantenimiento cilindros elevadores 1-5</t>
  </si>
  <si>
    <t>7 horas</t>
  </si>
  <si>
    <t>Se bajaron los pistones del 3 al 7 ya que las placas no permiten llevar un orden en especifico se necesita cambiar todos los pernos de sujeción de los pistones son dos por pistón</t>
  </si>
  <si>
    <t>Limpieza de transporte salida de PAST a SECADOR</t>
  </si>
  <si>
    <t>5.5 horas</t>
  </si>
  <si>
    <t>Se quitaron todas las cadenas y se lavo todo lo que es el transporte guias y cadenas
Se limpio transporte con espuma</t>
  </si>
  <si>
    <t>Inspección malla superior e inferior</t>
  </si>
  <si>
    <t>Limpieza de JETS de lavado</t>
  </si>
  <si>
    <t>Se revisaron los jets para ver si no estaban tapados, se lavo tanques de los filtros y se limpiaron canaletas de la lavadora de cajas</t>
  </si>
  <si>
    <t>Limpieza interna de lavadora</t>
  </si>
  <si>
    <t>Se lavaron los 2 tanques principales de la lavadora de cajas</t>
  </si>
  <si>
    <t>Se realizo limpieza a tulipas suprema, limpieza a cilindro de transferencia, se lubrico y engraso cilindros</t>
  </si>
  <si>
    <t>Colocar pin roll a guias de gaviotas para formato 330</t>
  </si>
  <si>
    <t>Mantenimiento a guias laterales de barandas tramo salida PAST a SECADOR</t>
  </si>
  <si>
    <t>0.5 horas</t>
  </si>
  <si>
    <t>Se coloco guia lateral del transporte de la salida del paster</t>
  </si>
  <si>
    <t>Instalar valvula de corte a filtro de tanque 3</t>
  </si>
  <si>
    <t>Mecanico</t>
  </si>
  <si>
    <t>ABIERTO</t>
  </si>
  <si>
    <t>Se detectaron fugas y se repararon dejando lista para trabajar</t>
  </si>
  <si>
    <t>Apriete de tuercas y prisionero de brazo de traslacion y seguidor de leva de cabezal de elevacion</t>
  </si>
  <si>
    <t>Se reapretaron todas las tuercas</t>
  </si>
  <si>
    <t>Se limpio grasa mala y se lubrico con grasa buena</t>
  </si>
  <si>
    <t>REVISION DE NIVEL DE ACEITE DE MOTORREDUCTOR DE CABEZAL DE ELEVACION</t>
  </si>
  <si>
    <t>Se les cargó aceite, no tienen fuga</t>
  </si>
  <si>
    <t>Con la espatula se quito grasa sucia de guias de cabezal luego se le aplico grasa nueva</t>
  </si>
  <si>
    <t>Se limpió cadena de transporte luego se le aplico lubricación nueva y engrase a cabezal dejando todo en buenas condiciones</t>
  </si>
  <si>
    <t>RE APRETE DE PRISIONEROS DE CABEZAL DE ELEVACION</t>
  </si>
  <si>
    <t>Se reviso aprete de tuercas, algunas se encontraron falta de aprete se les dio su aprete quedando todas en buen estado</t>
  </si>
  <si>
    <t xml:space="preserve">Perforar agujeros chinos en soporte de motorreductor de traslación de cabezal hacia mesa de descarga </t>
  </si>
  <si>
    <t>No se realizó por trabajos en cartonero en conjunto a SAn Martin, se reprogramara para 20/07/2026</t>
  </si>
  <si>
    <t>REPROGRAMAR</t>
  </si>
  <si>
    <t>Se limpio guias de cabezal con espatula se puso grasa nueva</t>
  </si>
  <si>
    <t>Se limpio toda la grasa vieja con wipe de tela luego se puso grasa nueva</t>
  </si>
  <si>
    <t>Se revisó aprete de tuercas se encontro todo bien</t>
  </si>
  <si>
    <t>Se limpio la grasa en mal estado y se puso grasa en buen estado</t>
  </si>
  <si>
    <t>Apriete de tuercas y prisionero de brazo de traslacion y seguir de leva de cabezal de elevacion</t>
  </si>
  <si>
    <t>Se reapretaron todas tuercas para mayor seguridad</t>
  </si>
  <si>
    <t>Se cargó aceite, no presenta fuga</t>
  </si>
  <si>
    <t>Engrase de sistema de accionamiento manual</t>
  </si>
  <si>
    <t>Se lubrica pero solo se le aplica 1/2 libra de grasa eraa todo lo que habia en bodega del Celerol L7001</t>
  </si>
  <si>
    <t>LIMPIEZA DE TRANSPORTE DE SALIDA DE ETIQUETADORA HASTA ENCAJONADORA</t>
  </si>
  <si>
    <t>Se realizo desmontaje de cadenas transporte salida etiquetadora hasta entrada encajonadora, se realizo limpieza e inspeccion todo ok, se montaron cadena y se probo transporte</t>
  </si>
  <si>
    <t xml:space="preserve">Revision de presión entre palpador y cilindro de goma </t>
  </si>
  <si>
    <t>NO SE REALIZO POR FALTA DE TIEMPO, SE REPROGRAMARA 20/07/26</t>
  </si>
  <si>
    <t xml:space="preserve">Inpector de envase </t>
  </si>
  <si>
    <t>Inspeccion de conectores de sensores de maquina</t>
  </si>
  <si>
    <t>Desmontaje de cadena y limpieza transporte de salida de inspector a entrada de llenadora</t>
  </si>
  <si>
    <t>Se abrieron cadenas de salida de EBI hacia llenadora, se lavaron y revisaron guias laterales, piñones y eslabones de cadena de los cuales no se reportan daños.
Se lavo canaleta en tramo de llenadora hacia desague
Se termino de limpiar exterior de maquina para eliminar oxido</t>
  </si>
  <si>
    <t>Inspeccion de ruta electrica parado de sistema de carga y descarga</t>
  </si>
  <si>
    <t>NO SE PUDO REALIZAR POR FUNCIONAMIENTO Y PRUEBAS DE MAQUINA, SE REPROGRAMARA PARA MTTO 20/07/26</t>
  </si>
  <si>
    <t>Inspeccion de ruta electrica parado de panel de fuerza y control</t>
  </si>
  <si>
    <t>Inspeccion de ruta electrica detenido de extractor de etiqueta 1</t>
  </si>
  <si>
    <t>Se utilizo megger para las respectivas revisiones</t>
  </si>
  <si>
    <t>Inspeccion de ruta electrica detenido de extractor de etiqueta 2</t>
  </si>
  <si>
    <t>Inspeccion de ruta electrica detenido de extractor de etiqueta 3</t>
  </si>
  <si>
    <t>Se utilizo tester de aislamiento</t>
  </si>
  <si>
    <t>Inspeccion de ruta electrica detenido de extractor de etiqueta 4</t>
  </si>
  <si>
    <t>LLenadora</t>
  </si>
  <si>
    <t>Puntos de lubricación:
Distribuidor de gases
Distribuidor de cerveza
Distribuidor de rinser
Engrase de cardanes de tornillos sinfin entrada de rinser y entrada de llenadora
Limpieza carrilera y bajada de corona</t>
  </si>
  <si>
    <t>Mantenimiento cilindros elevadores 25 al 30</t>
  </si>
  <si>
    <t>Se revisaron pistones del #25 al #32 en total fueron 8 pistones revisados</t>
  </si>
  <si>
    <t>Modificar sistema de ajuste de tensión de fajas de traslación del cabezal</t>
  </si>
  <si>
    <t>Colocación de pin roll a guías plásticas de cuello de salida de coronador</t>
  </si>
  <si>
    <t>Instalación de relé bobina 230VAC para electrovalvula</t>
  </si>
  <si>
    <t>Se instaló relé que fue proporcionado, se realizaron pruebas y queda funcionando bien</t>
  </si>
  <si>
    <t>Inspección de guía L Clip transporte de entrada a carrusel de llenado</t>
  </si>
  <si>
    <t>FINALIZADO</t>
  </si>
  <si>
    <t>Revisión de guia L Clip en transporte de entrada a carrusel de llenado</t>
  </si>
  <si>
    <t>Limpieza, inspeccion y engrase de sistema de traccion mesa de carga de caja</t>
  </si>
  <si>
    <t>Se encontró que la cadena estaba floja, se tensó nuevamente y se engrasó</t>
  </si>
  <si>
    <t>Re aprete de pernos de balancines y enderezamiento transporte de salida pasteurizador</t>
  </si>
  <si>
    <t>Desmontaje de cadena y limpieza transporte de salida de llenadora hasta motor B24</t>
  </si>
  <si>
    <t>INSPECCION DE JB DE DESEMPACADORA</t>
  </si>
  <si>
    <t>La JB1 de la maquina se reviso y no se encontraron cables mojados, ni flijos ni corroidos. De igual forma se reviso el gabinete de la pantalla y los componentes se encontraban bien sin señas de humedad ni corrosión</t>
  </si>
  <si>
    <t>INSPECCION DE JB DE EMPACADORA</t>
  </si>
  <si>
    <t>La JB1 de la máquina se encuentra en buen estado, sin señas de que se haya mojado por la lluvia. De igual forma el gabinete de la pantalla se encuentra en buen estado, no se presenta corrosión ni componentes mojados</t>
  </si>
  <si>
    <t>COLOCACION DE GUIA PIN ROLL A GUIA BLANCA DE CORONADOR</t>
  </si>
  <si>
    <t>Mantenimiento a cilindros elevadores de 33 - 43</t>
  </si>
  <si>
    <t>Se realizo mantenimiento a 11 pistones del 36 al 46 luego del mantenimiento procedimos al montaje de los mismos y tambien al montaje de los que se realizaron el dia viernes 17/07 haciendo un montaje total de 22 pistones elevadores</t>
  </si>
  <si>
    <t>Transporte LAVBOT a EBI</t>
  </si>
  <si>
    <t>Mantenimiento a motor B12</t>
  </si>
  <si>
    <t>Mantenimiento a motor B11</t>
  </si>
  <si>
    <t>Transporte LLN a PAST</t>
  </si>
  <si>
    <t>Colocar seguro Omega para eje 40 y perforar eje para que prisionero no se mueva</t>
  </si>
  <si>
    <t>* Lubricacion distribuidor de gases
* Lubricacion distribuidor de cerveza
* Lubricacion Rinser
* Lubricacion de cardanes tornillo sinfin entrada y salida de equipo</t>
  </si>
  <si>
    <t>Inspección de presión entre palpador y cilindro de goma</t>
  </si>
  <si>
    <t>Con la ayuda de don Mario Escalante se reviso y rectifico palpadores  y cilindro engomador encontrando una leve desviacion en los palpadores de Suprema VNR. Se ajusto cilindro se probo con rtiqueta y quedo solventado</t>
  </si>
  <si>
    <t>LUBRICACION DE ROTULA DE CILINDROS NEUMATICOS</t>
  </si>
  <si>
    <t>VERIFICACION DE DESGASTE BANDA DE GOMA</t>
  </si>
  <si>
    <t>INSPECCION DE RODAMIENTOS DE 80 RODILLOS (2 MIN POR RODILLO)</t>
  </si>
  <si>
    <t>LIMPIEZA Y LUBRICACION CADENA DE RODILLO</t>
  </si>
  <si>
    <t>LIMPIEZA, AJUSTE Y COMPROBACION DE FUNCIONAMIENTO DE SENSORES Y REFLECTIVOS DE MAQUINA</t>
  </si>
  <si>
    <t>REVISION Y CIERRE DE FUGAS EN TULIPAS DE CABEZAL</t>
  </si>
  <si>
    <t>VERFICIACION DE PIÑONES EN MESA DE ENTRADA TRANSPORTE</t>
  </si>
  <si>
    <t>VERIFICACION Y REPARACION DE POLEAS DE RETORNO EN MESA DE ENTRADA TRANSPORTE</t>
  </si>
  <si>
    <t>INSPECCION DE EJE DE FRENO DE CAJAS</t>
  </si>
  <si>
    <t>VERIFICAR JUEGO EN ROTULA CILINDRO FRENO DE CAJAS</t>
  </si>
  <si>
    <t>REVISION DE FUGAS EN TULIPAS DE CABEZAL</t>
  </si>
  <si>
    <t>VERIFICACION DE POLEAS DE RETORNO EN MESA DE ENTRADA TRANSPORTE</t>
  </si>
  <si>
    <t>INSPECCION DE TURBINA EXTRACTOR DE GASES 1</t>
  </si>
  <si>
    <t xml:space="preserve">VERIFICAR DESGASTE,FIJACIONES Y REPARAR GUIAS CURVAS DE ENTRADA </t>
  </si>
  <si>
    <t>Se realizo segun orden</t>
  </si>
  <si>
    <t>VERIFICAR DESGASTE, FIJACIONES Y REPARAR DEDOS DE CARGA</t>
  </si>
  <si>
    <t>Se realizó según orden</t>
  </si>
  <si>
    <t>DESTAPONADO DE INYECTORES DE DUCHAS DE TANQUES 1 Y 3</t>
  </si>
  <si>
    <t>Realizado segun orden</t>
  </si>
  <si>
    <t>VERIFICACION DE ESTADO DE CORTINAS DE GOMA</t>
  </si>
  <si>
    <t>Las cortinas están en buen estado</t>
  </si>
  <si>
    <t xml:space="preserve">LIMPIEZA INTERNA DE TANQUES </t>
  </si>
  <si>
    <t>VERIFICAR ESTADO DE LLUVIAS DE MALLA</t>
  </si>
  <si>
    <t>INSPECCION DE RODAMIENTOS DE 46 RODILLOS (2 MIN POR RODILLO)</t>
  </si>
  <si>
    <t>VERIFICACION DE NIVEL DE ACEITE MOTORREDUCTOR ELEVACION</t>
  </si>
  <si>
    <t>REVISION DE ESTADO DE CILINDROS NEUMATICOS, ELECTROVALVULAS Y MANGUERAS</t>
  </si>
  <si>
    <t>Todo se encuentra en buen estado solo se limpio con WD-40</t>
  </si>
  <si>
    <t>Se probo electrovalvula y tenia cable flojo se apreto y limpió</t>
  </si>
  <si>
    <t>REVISION DE CABLE POR CORTOCIRCUITOS EN BORNERA K2641 PANEL DE FUERZA Y MANDO</t>
  </si>
  <si>
    <t>Se revisó cable de guarda y contactor y se re apreto</t>
  </si>
  <si>
    <t>REVISION DE ESTADO DE CONECTORES DE SENSORES DE EQUIPO</t>
  </si>
  <si>
    <t>Se quito conectores se limpiaron con limpiador de contacto y se revisaron conexiones estan bien solo se cambio uno por muy viejo</t>
  </si>
  <si>
    <t>SE REPROGRAMARA PARA OTRA PARADA PROGRAMADA DEL EQUIPO PARA REALIZAR MTTO 27/07/2026, NO SE REALIZO POR INCAPACIDAD DE ANDREA CASTRO Y FERNANDO CON RENE SE ESTUVO APOYANDO EN CONEXION CARTONERO</t>
  </si>
  <si>
    <t>reprogramar</t>
  </si>
  <si>
    <t>LUBRICAR EL EJE MOTRIZ DEL TORNILLO SINFIN DE LA ZONA DE ENTRADA</t>
  </si>
  <si>
    <t>Se realizo lubricacion y limpieza a tornillo sinfin, también se procedió a quitar rebaba a tornillo sinfin, se lubrico eje central se desmontó y se volvió a colocar se probó y trabajó correctamente.</t>
  </si>
  <si>
    <t>LUBRICAR LOS RODAMIENTOS DE LOS PORTAENVASES DE LA MESA PORTAENVASE</t>
  </si>
  <si>
    <t>Se inspeccionó cada plato giratorio (porta botella) encontrado todo perfectamente lubricado sin daños o golpes por botellas u operaciones erraticas, tambien se rectifico que ningun perno o tornillo estuvieje flojo o dañado</t>
  </si>
  <si>
    <t>LUBRICAR HUSILLO DEL SISTEMA DE AJUSTE DE ALTURA</t>
  </si>
  <si>
    <t>Se engraso punto de lubricacion elevador de altura. Se aplico 5 bombeos (se giro la maquina) para mayor eficiencia al bombear grasa</t>
  </si>
  <si>
    <t>LIMPIEZA DE CILINDROS ELEVADORES 44- 55</t>
  </si>
  <si>
    <t xml:space="preserve">INSTALACION DE 3 CANASTOS </t>
  </si>
  <si>
    <t>Se montaron los 3 canastos, quedan pendientes 2 para cerrar hueco</t>
  </si>
  <si>
    <t>CABLEADO Y CONEXION DE CARTONERO</t>
  </si>
  <si>
    <t>INSPECCION NEUMATICA DE CORONADOR</t>
  </si>
  <si>
    <t>COMPONENTES NEUMATICOS EN BUEN ESTADO</t>
  </si>
  <si>
    <t>TRP LAVBOT A EBI</t>
  </si>
  <si>
    <t>ENVIO DE MOTOR B11 A MANTENIMIENTO POR CAMBIO DE RODAMIENTOS</t>
  </si>
  <si>
    <t>TALLER EXT</t>
  </si>
  <si>
    <t>ENVIO DE MOTOR B09 A MANTENIMIENTO POR RECTIFICADO DE EJE</t>
  </si>
  <si>
    <t>TRP DPL CAJ A DESENCA</t>
  </si>
  <si>
    <t xml:space="preserve">INSPECCION Y LIMPIEZA DE GUIAS Y CADENAS DE TRANSPORTE </t>
  </si>
  <si>
    <t>SE REALIZO LIMPIEZA PERO SE NECESITAN MAS DE 1 PERSONA PARA EL TRABAJO YA QUE CUESTA DESMONTAR Y MONTAR LAS CADENAS</t>
  </si>
  <si>
    <t>TRP ENCA A PLT</t>
  </si>
  <si>
    <t>NO SE REALIZO POR FALTA DE TIEMPO</t>
  </si>
  <si>
    <t>LUBRICACION SEMANAL DE LLENADORA</t>
  </si>
  <si>
    <t>SE REALIZO LUBRICACION SEGUN ORDEN.
ADEMAS SE REALIZO CAMBIO DE PRESENTACION DE PRESENTACION EN LLENADORA.
SE APOYO AL DESMONTAJE Y MONTAJE DE PISTONES</t>
  </si>
  <si>
    <t>MANTENIMIENTO A CILINDROS ELEVADORES DEL 14 AL 24</t>
  </si>
  <si>
    <t>SE EJECUTO MANTENIMIENTO COMPLETO A LOS PISTONES DE LLNADORA DEL 14 AL 24. AL MOMENTO DE MONTAR NOS AYUDO OPERADOR DE LLENADORA</t>
  </si>
  <si>
    <t>TRP ENCA A PALET</t>
  </si>
  <si>
    <t xml:space="preserve">CAMBIO DE RETENEDOR POR FUGA MOTOR C18 </t>
  </si>
  <si>
    <t>Correctivo - ID157</t>
  </si>
  <si>
    <t>TRP ETQ A ENCA</t>
  </si>
  <si>
    <t>CAMBIO DE RETENEDOR POR FUGA MOTOR B44</t>
  </si>
  <si>
    <t>Correctivo - ID158</t>
  </si>
  <si>
    <t>TRP DESENCA A LAVCAJ</t>
  </si>
  <si>
    <t>CAMBIO DE RETENEDOR POR FUGA MOTOR C10</t>
  </si>
  <si>
    <t>Correctivo - ID163</t>
  </si>
  <si>
    <t>TRP EBI A LAVBOT</t>
  </si>
  <si>
    <t>INSTALACION DE VARILLAS PARA AJUSTAR BARANDAS LATERALES DE TRANSPORTE</t>
  </si>
  <si>
    <t>Componentes en buen estado</t>
  </si>
  <si>
    <t>INSTALACION DE SENSOR PARA VIDEOJET EN GUARDA DE CARRUSEL</t>
  </si>
  <si>
    <t>DPL CAJA</t>
  </si>
  <si>
    <t>MANTENIMIENTO Y CAMBIO DE COMPONENTES A RODILLOS MESA DE DESCARGA</t>
  </si>
  <si>
    <t>VOLTEADOR DE CAJAS</t>
  </si>
  <si>
    <t>INSTALACION DE ALARMA SONORA PARA VOLTEADOR DE CAJAS</t>
  </si>
  <si>
    <t>MEZANINE</t>
  </si>
  <si>
    <t>TAGGEADO DE CABLEADO ELECTRICO EN PANELES</t>
  </si>
  <si>
    <t>No se terminó de etiquetar en todos los gabinetes porque la etiquetadora se quedo sin carga, faltaron gabinete de despalet, palet y despalet de botellas, se ordeno el mezanine porque habia mucho cable tirado. Se apoyo a Fernando en revisión de señales que solicito Juan Pablo</t>
  </si>
  <si>
    <t>GENERAL</t>
  </si>
  <si>
    <t xml:space="preserve">CONEXION DE FLUJOMETRO DE CO2 </t>
  </si>
  <si>
    <t>Se realizo la instalacion del cableado para la conexion del flujometro, trabajo realizado junto a Fernando C.</t>
  </si>
  <si>
    <t>LIMPIEZA DE INYECTORES/CHORROS DE TUBERIA TQ 2</t>
  </si>
  <si>
    <t>LIMPIEZA DE TANQUE #2</t>
  </si>
  <si>
    <t>LIMPIEZA DE TANQUE #3</t>
  </si>
  <si>
    <t>LIMPIEZA DE TULIPAS, DE PALPADORES, DE CILINDRO DE TRANSFERENCIA Y ESPONJAS</t>
  </si>
  <si>
    <t>SE REALIZO LIMPIEZA INSPECCION Y LUBRICACION DE TULIPAS, PALPADORES, CILINDROS TRANSFER Y ESPONJAS DEJANDO CAMBIO DE FORMATO REALIZADO</t>
  </si>
  <si>
    <t>SE LIMPIO Y LUBRICO EJE MOTRIZ DEL TORNILLO SINFIN, SE LIMPIO Y LUBRICO HUSILLO DE ENTRADA Y SALIDA</t>
  </si>
  <si>
    <t>SE REALIZO INSPECCION Y RE APRETE A PLATOS PORTABOTELLAS VERIFICANDO QUE LOS PLATOS SE ENCUENTREN EN BUEN ESTADO</t>
  </si>
  <si>
    <t>CABE RECALCAR QUE ESTE PUNTO SE LUBRICA DESDE LUBRICACION CENTRALIZADA, SE ENCONTRO SIN LUBRICAR, SE LUBRICO Y LIMPIO EXCESO DE GRASA</t>
  </si>
  <si>
    <t>LIMPIEZA DE ALETAS DE MOTOR DE BOMBA DE VACÍO</t>
  </si>
  <si>
    <t>FABRICACION Y COLOCACION DE BANDEROLAS PARA DESENCAJONADOR</t>
  </si>
  <si>
    <t>ETIQUETADORA</t>
  </si>
  <si>
    <t>MODIFICACION DE BASE DE SENSOR DE VIDEOJET</t>
  </si>
  <si>
    <t>MELVIN OLIVORIO</t>
  </si>
  <si>
    <t>SE FABRICO UNA MORDAZA</t>
  </si>
  <si>
    <t>RENE RODRIGUEZ</t>
  </si>
  <si>
    <t>SE INSTALO ALARMA SONORA</t>
  </si>
  <si>
    <t>INSTALACION DE LLAVE DE PASO PARA FILTRO TANQUE 3</t>
  </si>
  <si>
    <t>COLOCACION DE RUEDAS LOCAS CON FRENO A ESCALERA DE SALIDA DE LLENADORA Y MESAS DE PORTACABEZALES</t>
  </si>
  <si>
    <t>COLOCACION DE FILTRO PARA DRENOS DE ENJUAGUE FINAL</t>
  </si>
  <si>
    <t>COLOCACION Y CABLEADO DE BOTONERA EN PASTEURIZADOR</t>
  </si>
  <si>
    <t>ANDREA CASTRO</t>
  </si>
  <si>
    <t>NO SE REALIZO POR CONTACTO EN MAL ESTADO QUE SE PIDIO CAMBIO</t>
  </si>
  <si>
    <t>COLOCACION Y CABLEADO DE BOTONERA EN ENCAJONADORA</t>
  </si>
  <si>
    <t>SE COLOCÓ BOTONERA EN ENTRADA DE MAQUINA</t>
  </si>
  <si>
    <t>LIMPIEZA DE CONECTORES DE SENSORES ENCAJONADORA</t>
  </si>
  <si>
    <t>LIMPIEZA Y LUBRICACION CADENA DE TRACC. MESA DE DESCARG. RODILLOS</t>
  </si>
  <si>
    <t>ELIAS SHICO</t>
  </si>
  <si>
    <t>SE REALIZO LIMPIEZA Y SE QUITO TIERRA Y PLASTICO ATASCADO EN DONDE ESTAN LOS PERNOS DE LOS RODILLOS Y LUEGO SE QUITO SUCIEDAD DE CADENA</t>
  </si>
  <si>
    <t>Transporte ENCA a PLT</t>
  </si>
  <si>
    <t>MANTENIMIENTO A RUEDAS DE RETORNO Y RODILLOS TENSORES DE SALIDA ENCA A PALET</t>
  </si>
  <si>
    <t>EMILIO SIGUENZA</t>
  </si>
  <si>
    <t>ORDENAMIENTO DE CABLEADO DE CONEXION VIDEOJET ETQ</t>
  </si>
  <si>
    <t>SE REALIZO ORDEN DEL CABLEADO DEJANDOLO PROLIJO</t>
  </si>
  <si>
    <t>Envasado</t>
  </si>
  <si>
    <t>TOMA DE BACKUPS DE VARIADORES DE FRECUENCIA LINEA ENVASADO</t>
  </si>
  <si>
    <t>LIMPIEZA INTERNA DE TANQUE 1</t>
  </si>
  <si>
    <t>CARLOS YUVINI</t>
  </si>
  <si>
    <t>SE TRASLADO SODA A ISLA SE LAVO TANQUES Y SE ENJUAGARON SE BAJARON DUCHAS, SE DESARMARON PARA ASEGURAR ROCIADO PARA TENER BUENA PRESIÓN Y ASEGURAR BUEN LAVADO DE ENVASE</t>
  </si>
  <si>
    <t>LIMPIEZA INTERNA DE TANQUE 2</t>
  </si>
  <si>
    <t>MOISES NAVAS</t>
  </si>
  <si>
    <t>SOLO SE LUBRICO DISTRIBUIDOR DE GASES POR MANTENIMIENTO Y COLOCACION DE CILINDRO DE ELEVACIÓN</t>
  </si>
  <si>
    <t>LIMPIEZA Y LUBRICACION DE CADENA DOBLE DE MESA DE RODILLOS</t>
  </si>
  <si>
    <t>SE LIMPIO CADENA CON DESENGRASANTE PARA APLICAR GRASA NUEVA QUEDANDO LIMPIÓ EN DONDE SE DESPLAZO  CADENA Y SE QUITO TIERRA ATASCADA</t>
  </si>
  <si>
    <t>LIMPIEZA Y LUBRICACION CADENA DE RODILLO TRAP TARIMAS</t>
  </si>
  <si>
    <t>ARMANDO GARCIA</t>
  </si>
  <si>
    <t>SE LUBRICARON Y SE INSPECCIONO QUE ESTUVIESE ALINEADO</t>
  </si>
  <si>
    <t>SE LIMPIARON Y SE ALINEARON CADA UNO DE ELLOS</t>
  </si>
  <si>
    <t>FALTO QUITAR EL EXCESO DE GRASA POR FALTA DE WIPE, SE REALIZO LIMPIEZA EN LOS RODILLOS DE LA MESA Y SE LUBRICO</t>
  </si>
  <si>
    <t>SE QUITÓ PLÁSTICO ATASCADO EN PIÑONES SE LIMPIO PARA APLICAR LUBRICACION NUEVA</t>
  </si>
  <si>
    <t>LIMPIEZA, REAPRETE Y COMPROBACION DE FUNCIONAMIENTO DE SENSORES Y REFLECTIVOS DE MAQUINA</t>
  </si>
  <si>
    <t>CON WIPE DE LIMPIARON FOTOCELDAS PARA EVITAR FALLAS Y SE LIMPIARON LOS ESPEJOS Y SE LES QUITO TELAS DE ARAÑA</t>
  </si>
  <si>
    <t>CON LAS ESPATULAS SE QUITO LA GRASA VIEJA SE APLICO OTRA CAPA DE GRASA NUEVA QUEDANDO BIEN ENGRASADO LAS GUIAS DE CABEZAL</t>
  </si>
  <si>
    <t>LUIS ORTIZ</t>
  </si>
  <si>
    <t>TIENEN FUGAS POR VASTAGOS Y CAMPANAS DETERIORADOS</t>
  </si>
  <si>
    <t>FALTA REPARACION DE TULIPAS YA CON FUGAS SON VARIAS ES DE REVISAR Y CAMBIAR VARIAS CAMPANAS PORQUE FUGAN</t>
  </si>
  <si>
    <t>MANTENIMIENTO A CILINDROS ELEVADORES DEL 8 AL 13 Y DEL 33 AL 35</t>
  </si>
  <si>
    <t>JEREMIAS MIRANDA / JULIO QUISQUI</t>
  </si>
  <si>
    <t>SE TERMINO DE DAR MANTENIMIENTO A CILINDROS ELEVADORES</t>
  </si>
  <si>
    <t>LIMPIEZA DE BANDEJAS DE LUBRICACION DESDE VOLTEADOR DE CAJAS HASTA LAVCAJ</t>
  </si>
  <si>
    <t>SE LIMPIO CANALETA DE VOLTEADOR DE CAJA HASTA LA ENTRADA DE LAVADORA DE CAJA</t>
  </si>
  <si>
    <t>LIMPIEZA DE BANDEJAS DE LUBRICACION DESDE LAVCAJ HASTA ENCA</t>
  </si>
  <si>
    <t>SE REALIZO LIMPIEZA CON LAVADO Y SE RECOGIO BASURA</t>
  </si>
  <si>
    <t>LIMPIEZA DE BANDEJAS DE LUBRICACION DESDE SALIDA DPL CAJ A DESENC</t>
  </si>
  <si>
    <t>SE LAVO CON PRESION DE AGUA Y SE RECOGIO LA BASURA</t>
  </si>
  <si>
    <t>LIMPIEZA DE BANDEJAS DE LUBRICACION DESDE ENCA HASTA PALET</t>
  </si>
  <si>
    <t>LIMPIEZA INTERNA DE MAQUINA Y TANQUES</t>
  </si>
  <si>
    <t>WILLIAM CANIZALEZ</t>
  </si>
  <si>
    <t>LOS TANQUES SE ENCONTRARON LIMPIOS</t>
  </si>
  <si>
    <t xml:space="preserve">LIMPIEZA DE CHORROS DE LIMPIEZA DE CAJAS </t>
  </si>
  <si>
    <t>SE DESMONTARON LOS INYECTORES Y SE LAVARON, SE VOLVIERON A MONTAR Y SE HIZO PRUEBA DE LA MAQUINA</t>
  </si>
  <si>
    <t>REALIZAR CASTIGADERA A EJE DE MOTORREDUCTOR B22</t>
  </si>
  <si>
    <t>SE DESCONECTARON MOTORES PARA BAJARLOS CON TODO Y EJE PARA REALIZAR CASTIGADERA</t>
  </si>
  <si>
    <t>REALIZAR CASTIGADERA A EJE DE MOTORREDUCTOR B23</t>
  </si>
  <si>
    <t>REALIZAR CASTIGADERA A EJE MOTORREDUCTOR C06</t>
  </si>
  <si>
    <t>ENGRASE MANUAL DE SISTEMA DE LUBRICACION</t>
  </si>
  <si>
    <t>NESTOR RIVERA</t>
  </si>
  <si>
    <t>SE HACE LUBRICACION DE TODOS LOS PUNTOS DE LUBRICACION Y SE HACE MANUALMENTE LA LUBRICACION DE LOS CABEZALES PORQUE LES LLEGA POCA GRASA.
SE HACE CAMBIO DE MANGUERA DE 4MM POR DAÑARSE SE MONTO UNA DE 6MM PORQUE ES LO QUE HAY</t>
  </si>
  <si>
    <t>LIMPIEZA DE TANQUE 3 DE SODA</t>
  </si>
  <si>
    <t>CARLOS YUVINI / DANIEL MARROQUIN</t>
  </si>
  <si>
    <t>SE REALIZO LIMPIEZA DE TANQUE SACANDO RESIDUO DE ETIQUETA, LIMPIEZA SE DEBE REALIZAR CONSTANTEMENTE CADA 15 DIAS ENVIANDO SODA A LA ISLA PARA EVITAR TAPAR LAS BOMBAS CON RESIDUOS DE ETIQUETAS Y SERVILLETAS AL IGUAL LIMPIEZA DE BARRAS Y DUCHAS HACERLA MENSUAL</t>
  </si>
  <si>
    <t>Despaletizadora botellas</t>
  </si>
  <si>
    <t>LIMPIEZA, AJUSTE Y LUBRICACIÓN DE DESPALETIZADORA DE BOTELLAS</t>
  </si>
  <si>
    <t>JEREMIAS MIRANDA</t>
  </si>
  <si>
    <t>LIMPIEZA DE CADENAS Y BANDEJAS TRAMO SALIDA DESENCA  A VOLTEADOR DE CAJAS</t>
  </si>
  <si>
    <t>LIMPIEZA EN TRANSPORTE Y CADENAS CON ENFORCE, AGUA Y SE LAVO CON ESCOBA POR FALTA DE HIDROLAVADORA</t>
  </si>
  <si>
    <t>LIMPIEZA DE CADENAS Y BANDEJAS TRAMO SALIDA VOLTEADOR DE CAJAS A LAVCAJ</t>
  </si>
  <si>
    <t>SE DESMONTO CADENA DE VOLTEADOR HASTA ENTRADA DE LAVADORA DE CAJAS
SE LIMPIO CON DESENGRASANTE</t>
  </si>
  <si>
    <t>LIMPIEZA DE CADENAS Y BANDEJAS TRAMO SALIDA ENCA A PALET</t>
  </si>
  <si>
    <t>DRENO DE LAVADORA DE BOTELLAS</t>
  </si>
  <si>
    <t>JULIO QUISQUI</t>
  </si>
  <si>
    <t>SE LOGRARON PONER TRES LAMINAS QUEDA UNA PENDIENTE</t>
  </si>
  <si>
    <t>COLOCACION DE LAMINA A MESA PORTACABEZALES</t>
  </si>
  <si>
    <t>SE TERMINO ACTIVIDAD</t>
  </si>
  <si>
    <t>MANTENIMIENTO A RODILLOS TENSORES Y RUEDAS DE RETORNO TRAMO ENCA A PALET</t>
  </si>
  <si>
    <t>MANTENIMIENTO A RODILLOS TENSORES Y RUEDAS DE RETORNO TRAMO LAVCAJ A ENCA</t>
  </si>
  <si>
    <t xml:space="preserve">LIMPIEZA E INSPECCION DE SENSORES Y CONTECTORES </t>
  </si>
  <si>
    <t>LOS SENSORES MAGNETICOS DEL PISTON DEL LADO IZQUIERDO NO SE ESTAN UTILIZANDO, DEL CENTRADOR DE CAJAS</t>
  </si>
  <si>
    <t>Transporte caja</t>
  </si>
  <si>
    <t>REVISION Y LIMPIEZA DE SENSORES FOTOELECTRICOS Y CONECTORES</t>
  </si>
  <si>
    <t>FERNANDO CONTRERAS</t>
  </si>
  <si>
    <t>SE RE APRETARON ESPEJOS Y SENSORES QUE ESTABAN FLOJOS Y QUEDO SOLO UNO CON ESPEJO QUE LE HAN PUESTO LOS OPERADORES Y LOS DEMAS SE REALIZO CORRECTAMENTE</t>
  </si>
  <si>
    <t>Transporte botella</t>
  </si>
  <si>
    <t>REVISION Y LIMPIEZA DE SENSORES DE BALANCINES Y CONECTORES M12</t>
  </si>
  <si>
    <t>SE REALIZO REVISIÓN Y SE CORRIGIERON LAS ANOMALIAS</t>
  </si>
  <si>
    <t>REVISION DE SPROCKETS DE MOTOR B23 TRAMO LLEN A PAST</t>
  </si>
  <si>
    <t>REPARACION DE PLACA MUERTA TRAMO LLEN A PAST</t>
  </si>
  <si>
    <t>SE FABRICO PLACA MUERTA NUEVA Y SE PROBO</t>
  </si>
  <si>
    <t>REPARACION DE FUGA DE BOMBA TANQUE #3</t>
  </si>
  <si>
    <t>SE CAMBIO SELLO MECANICO</t>
  </si>
  <si>
    <t>CAMBIO DE RETENEDOR R1 135X170X12</t>
  </si>
  <si>
    <t>SE CAMBIO RETENEDOR</t>
  </si>
  <si>
    <t>SE REALIZO LUBRICACION DE LLEN</t>
  </si>
  <si>
    <t>NO SE REALIZO PORQUE NO HAY LUBRICANTE EN BODEGA</t>
  </si>
  <si>
    <t>NO SE REALIZO PORQUE NO HUBO OPERADOR</t>
  </si>
  <si>
    <t>NO SE REALIZO POR FALTA DE LUBRICANTE</t>
  </si>
  <si>
    <t>SE REALIZO LIMPIEZA Y AJUSTE</t>
  </si>
  <si>
    <t>SE REALIZO LIMPIEZA DE GUIAS Y LUBRICACION, SE UTILIZO DESENGRASANTE</t>
  </si>
  <si>
    <t>CAMBIO DE ESPONJAS PRESENTACION 750ML</t>
  </si>
  <si>
    <t>LIMPIEZA AJUSTE E INSPECCION DE SENSORES DE MAQUINA Y REFLECTIVOS</t>
  </si>
  <si>
    <t>LIMPIEZA DE VIDRIOS PROTECTORES, ESPEJOS DE REFLEXIÓN Y POLEAS DE CORREA</t>
  </si>
  <si>
    <t>LIMPIEZA Y LUBRICACION DE CADENA DE TRACCION PRINCIPAL DE MAQUINA</t>
  </si>
  <si>
    <t>LIMPIEZA DE MOTORES DE ENTRADA Y SALIDA DE MAQUINA</t>
  </si>
  <si>
    <t>CAMBIO DE RETENEDOR R2 118X150X12</t>
  </si>
  <si>
    <t>REVISION Y CAMBIO DE EMPAQUE DE CAJA R3</t>
  </si>
  <si>
    <t>SE LE CAMBIO EMPAQUE Y QUEDA SELLADO</t>
  </si>
  <si>
    <t>REVISION Y CAMBIO DE EMPAQUE DE CAJA R4</t>
  </si>
  <si>
    <t>ENDEREZADO DE CANALETA ELECTRICA EXTRACTOR #3</t>
  </si>
  <si>
    <t>SE ENDEREZÓ CANALETA ELECTRICA</t>
  </si>
  <si>
    <t>ENDEREZADO DE CANALETA ELECTRICA MESA DE MAQUINA</t>
  </si>
  <si>
    <t>CABLEADO Y CONEXION DESDE LLENADORA A CCM ELAB</t>
  </si>
  <si>
    <t>REVISION DE CILINDROS DE ELEVACION 55, 9 Y 38</t>
  </si>
  <si>
    <t>SE LE CAMBIARON COMPONENTES A CILINDRO 38</t>
  </si>
  <si>
    <t>CAMBIO DE RACORES PARA VASTAGOS EN CABEZALES DE TULIPAS</t>
  </si>
  <si>
    <t>SE CAMBIARON RACORES</t>
  </si>
  <si>
    <t>AISLAR MANOMETROS CON VALVULA DE BOLA DE TK1, 2 Y 3</t>
  </si>
  <si>
    <t>SE AISLARON MANOMETROS</t>
  </si>
  <si>
    <t>REFUERZO DE GUIAS CURVAS METALICAS MESA DE ENTRADA</t>
  </si>
  <si>
    <t>Despalet de Cajas</t>
  </si>
  <si>
    <t>MANTENIMIENTO Y MONTAJE A 4 RODILLOS DE MESA DE RODILLOS DPL CAJ</t>
  </si>
  <si>
    <t>SE REALIZO EL MONTAJE DE 3 RODILLOS PERO SE DESMONTARON 2 MÁS</t>
  </si>
  <si>
    <t>CAMBIO DE CHUMACERA UC211 Y REVISION DE LUBRICACION</t>
  </si>
  <si>
    <t>SE REALIZO EL CAMBIO DE LA CHUMACERA Y SE AJUSTO EL SISTEMA DE ENGRASE AUTOMATICO, QUEDA FUNCIONANDO</t>
  </si>
  <si>
    <t>REVISION DE NIVEL DE ACEITE Y ESTADO DE R1 A R5</t>
  </si>
  <si>
    <t xml:space="preserve">SE REVISARON LOS NIVELES DE ACEITE </t>
  </si>
  <si>
    <t>INSTALACION DE ACCESORIOS PARA COLOCAR PRESOSTATO</t>
  </si>
  <si>
    <t>NO SE PUDO REALIZAR SE REPROGRAMARA</t>
  </si>
  <si>
    <t>VERIFICACION DE ALINEAMIENTO DE CHORROS DE ENJUAGUE TK1, TK2, TK3, PREENJUAGUE Y ENJUAGUE FINAL</t>
  </si>
  <si>
    <t xml:space="preserve">JEREMIAS MIRANDA </t>
  </si>
  <si>
    <t>SE FABRICO PUNTA PARA REALIZAR LA INSPECCION DE LA ALINEACION</t>
  </si>
  <si>
    <t>TRP LLEN A PAST</t>
  </si>
  <si>
    <t>DESMONTAJE, LIMPIEZA E INSPECCION DE CADENAS, GUIAS DE DESLIZAMIENTO Y GUIAS LATERALES</t>
  </si>
  <si>
    <t>INSPECCION DE ESTADO DE GUIAS, RODILLOS Y ESLABONES DE CADENA PORTA CANASTOS</t>
  </si>
  <si>
    <t xml:space="preserve">SE REALIZO INSPECCION </t>
  </si>
  <si>
    <t>INSPECCION DE ESTADO DE CHUMACERAS UC211 Y REHABILITACION DE SISTEMA DE LUBRICACION</t>
  </si>
  <si>
    <t>JULIO QUISQUI / EMILIO SIGUENZA</t>
  </si>
  <si>
    <t>SE REPROGRAMARA ACTIVIDAD POR APOYO EN ENFILADOR Y CAMBIO DE COMPONENTES</t>
  </si>
  <si>
    <t>LUBRICACION MANUAL DE COMPONENTES Y CAMBIO DE TUBBING</t>
  </si>
  <si>
    <t>SE REALIZO LUBRICACION Y CAMBIO DE COMPONENTES TUBBING</t>
  </si>
  <si>
    <t xml:space="preserve">MONTAJE DE RODILLOS DE MESA DE CARGA DE CAJA </t>
  </si>
  <si>
    <t>REALIZAR CASTIGADERA A PIÑON DE ELEVACION DE PALET</t>
  </si>
  <si>
    <t>REALIZAR CASTIGADERA A PIÑON DE ELEVACION DE ENCAJONADORA</t>
  </si>
  <si>
    <t>SE REALIZO CASTIGADERA PARA PIÑON DE ELEVACIÓN</t>
  </si>
  <si>
    <t>REALIZAR CASTIGADERA A PIÑON DE ELEVACION DE DESENCAJONADORA</t>
  </si>
  <si>
    <t>TRP LAVCAJ A ENCA</t>
  </si>
  <si>
    <t>REALIZAR CASTIGADERA A EJE MOTORREDUCTOR C13</t>
  </si>
  <si>
    <t>SE REALIZO CASTIGADERA PARA EJE</t>
  </si>
  <si>
    <t>DPL CAJ</t>
  </si>
  <si>
    <t>LIMPIEZA DE CONECTORES DE SENSORES DPL CAJA</t>
  </si>
  <si>
    <t>SE LIMPIO EXTERNO E INTERNO</t>
  </si>
  <si>
    <t>LIMPIEZA DE CONECTORES DE SENSORES DPL BOT</t>
  </si>
  <si>
    <t>SE LIMPIO INTERNO Y EXTERNO</t>
  </si>
  <si>
    <t>LIMPIEZA DE CONECTORES DE SENSORES PLT</t>
  </si>
  <si>
    <t>SE REALIZO LIMPIEZA INTERNA Y EXTERNA</t>
  </si>
  <si>
    <t>Transporte de botella</t>
  </si>
  <si>
    <t xml:space="preserve">LIMPIEZA DE CONECTORES DE SENSORES DE BALANCINES </t>
  </si>
  <si>
    <t>SE DESCONECTA SENSORES PARA REALIZAR LIMPIADO DE CONTACTOS</t>
  </si>
  <si>
    <t>LIMPIEZA DE CONECTORES DE SENSORES DESENCAJONADORA</t>
  </si>
  <si>
    <t>LIMPIEZA DE CONECTORES DE SENSORES LAVADORA DE BOTELLAS</t>
  </si>
  <si>
    <t>LIMPIEZA DE CONECTORES DE SENSORES DE ETIQUETADORA</t>
  </si>
  <si>
    <t>TRP PAST A ETQ</t>
  </si>
  <si>
    <t>MONTAJE DE PIÑONES Y CADENAS DE ENFILADOR</t>
  </si>
  <si>
    <t>SE CERRO ENFILADOR</t>
  </si>
  <si>
    <t>SE REALIZO CASTIGADERA</t>
  </si>
  <si>
    <t>MONTAJE DE MOTORREDUCTOR DE ELEVACION</t>
  </si>
  <si>
    <t>SE MONTO MOTORREDUCTOR DE PALETIZADORA</t>
  </si>
  <si>
    <t>CAMBIO DE CONECTORES A IP69 DE BALANCINES</t>
  </si>
  <si>
    <t>REALIZAR CASTIGADERA A SPROCKETS DE TRAMO SALIDA LLEN A PAST</t>
  </si>
  <si>
    <t>SE REALIZARON CASTIGADERAS EN TODOS LOS EJES DEL TRANSPORTE Y SE LIMPIARON CHUMACERAS</t>
  </si>
  <si>
    <t>REALIZAR CASTIGADERA A EJE DE MOTOR C14</t>
  </si>
  <si>
    <t>TRP CAJA SUCIA</t>
  </si>
  <si>
    <t>REALIZAR CASTIGADERA A EJES DE MOTORREDUCTOR C01 AL C05</t>
  </si>
  <si>
    <t>INSPECCION A BRAZO DE DESPLAZAMIENTO HORIZONTAL DE CARRO</t>
  </si>
  <si>
    <t>SE INSPECCIONO Y NO SE ENCONTRO NINGUNA ANOMALIA Y SE REALIZARON PRUEBAS</t>
  </si>
  <si>
    <t>COLOCACIÓN DE TUBERÍA 2" PARA DRENO DE BOMBA DE VACIO</t>
  </si>
  <si>
    <t>ROTULACION DE CABLEADO SEGUN BOBINAS DE MOTORES ELECTRICOS</t>
  </si>
  <si>
    <t>SE ETIQUETO TRANSPORTE DE BOTELLAS PENDIENTE CAJAS</t>
  </si>
  <si>
    <t>INSPECCION POR FUGA DE AIRE EN COMPONENTES NEUMATICOS</t>
  </si>
  <si>
    <t>RENÉ RODRIGUEZ</t>
  </si>
  <si>
    <t>Despaletizadora Caja</t>
  </si>
  <si>
    <t>INSPECCION INTERNA DE GUIAS DE CADENA PORTA CANASTOS</t>
  </si>
  <si>
    <t>MELVIN O./EMILIO S.</t>
  </si>
  <si>
    <t>SE OBSERVARON GUIAS INTERNAS Y NO SE ENCONTRO NINGUNA ANORMALIDAD, UNICAMENTE SE ENCONTRO PUNTOS DE ROCE ENTRE TECHO DE TANQUE Y CANASTOS SE DESBASTO</t>
  </si>
  <si>
    <t>LIMPIEZA E INSPECCION DE SENSORES DE NIVEL DE TANQUE 1 Y 2</t>
  </si>
  <si>
    <t>SE LIMPIARON SENSORES</t>
  </si>
  <si>
    <t>LIMPIEZA E INSPECCION DE SENSORES DE NIVEL DE TANQUES DE CALENTAMIENTO</t>
  </si>
  <si>
    <t xml:space="preserve">LIMPIEZA E INSPECCION DE SENSORES DE TEMPERATURA </t>
  </si>
  <si>
    <t>CONEXION DE MOTOR B10</t>
  </si>
  <si>
    <t>SE INSTALO Y SE PROBO EL SENTIDO DE GIRO</t>
  </si>
  <si>
    <t>ETIQUETADO DE CABLES DE CONEXION DE MOTORREDUCTORES</t>
  </si>
  <si>
    <t xml:space="preserve">MONTAJE DE MOTOR B10 </t>
  </si>
  <si>
    <t>SE MONTO MOTOR</t>
  </si>
  <si>
    <t>TRP BYPASS</t>
  </si>
  <si>
    <t>DESCONEXION Y CONEXION MOTOR BYPASS</t>
  </si>
  <si>
    <t>MONTAJE DE MOTOR BYPASS</t>
  </si>
  <si>
    <t>CAMBIO DE RECTIFICADOR Y CONEXION DE MOTORREDUCTOR</t>
  </si>
  <si>
    <t>SE PUSO RECTIFICADOR Y SE PROBO QUEDA TRABAJANDO BIEN</t>
  </si>
  <si>
    <t>Despaletizadora botella</t>
  </si>
  <si>
    <t>RE CONEXION DE MOTOR DE ELEVACION Y ENCODER</t>
  </si>
  <si>
    <t>SE CONECTO MOTOR CON SU ENCODER Y QUEDA TRABAJANDO BIEN</t>
  </si>
  <si>
    <t>TRP CAJA</t>
  </si>
  <si>
    <t xml:space="preserve">REVISION DE CONECTORES Y LIMPIEZA DE FOTOCELDAS </t>
  </si>
  <si>
    <t>SE REVISARON CONECTORES</t>
  </si>
  <si>
    <t>REVISION Y LIMPIEZA DE CAJA DE CONEXION DE SERVOS R1 AL R5</t>
  </si>
  <si>
    <t>SE REALIZARON LIMPIEZAS DE LOS CONECTORES</t>
  </si>
  <si>
    <t>CAMBIO DE RETENEDOR DE MOTOR B-06</t>
  </si>
  <si>
    <t>SE CAMBIARON RETENEDORES DE MOTOR</t>
  </si>
  <si>
    <t>CAMBIO DE RETENEDOR DE MOTOR B-08</t>
  </si>
  <si>
    <t>TRP PAST A SEC</t>
  </si>
  <si>
    <t>CAMBIO DE RETENEDOR DE MOTOR B-36</t>
  </si>
  <si>
    <t>CAMBIO DE RETENEDOR DE MOTOR C-06</t>
  </si>
  <si>
    <t>REVISION DE GRASA EN CUNAS DE R1 AL R5</t>
  </si>
  <si>
    <t xml:space="preserve">SE REVISARON CUNAS DE BALEROS POR TEMAS DE LUBRICACION ENCONTRADO EL BALERO #30 CON POCO LUBRICANTE Y CONTAMINACION DE SODA.
SE BAJA CHUMACERA PARA HACER CAMBIO DE BALERO Y SE LE PONEN TAPONES A LA CHUMACERA POR QUE NO SE LE HABIAN COLOCADO.
NO HABIA RETENEDOR 100X120X10 SE DEJO CON EL MISMO RETENEDOR Y SE HACE LUBRICACION MANUAL
</t>
  </si>
  <si>
    <t>LUBRICACION MANUAL CENTRALIZADA</t>
  </si>
  <si>
    <t xml:space="preserve">SE REALIZO LIMPIEZA Y LUBRICACION DE CILINDROS DE TRASNFERENCIA DE SUPREMA, TORNILLO SINFIN, HUSILLOS, SE VERIFICARON Y ENGRASARON LOS PUNTOS DE LUBRICACION CENTRALIZADA </t>
  </si>
  <si>
    <t>MONTAJE DE BOMBA DE PREENJUAGUE</t>
  </si>
  <si>
    <t>SE MONTO BOMBA DE PREENJUAGUE</t>
  </si>
  <si>
    <t>CONEXION DE BOMBA DE PREENJUAGUE</t>
  </si>
  <si>
    <t>SE CONECTO BOMBA Y SE PROBO SENTIDO DE GIRO</t>
  </si>
  <si>
    <t>REVISION Y AJUSTE DE FRENO MOTORREDUCTOR DE ELEVACION</t>
  </si>
  <si>
    <t>SE CAMBIO FRENO DE MOTOR DE ELEVACION CABEZAL A 0.2MM, SE CALIBRO FRENO DE MOTOR ELEVACION DE CENTRADOR A 0.20MM</t>
  </si>
  <si>
    <t>Despaletizadora Botella</t>
  </si>
  <si>
    <t>SE CALIBRO FRENO DE MOTOR DE ELEVACION DE CABEZAL A 0.20MM</t>
  </si>
  <si>
    <t>REVISION y LIMPIEZA DE RECTIFICADOR</t>
  </si>
  <si>
    <t>SE REVISO RECTIFICADOR Y SE ENCUENTRA BIEN.
SE LIMPIO CON LIMPIADOR DE CONTACTOS</t>
  </si>
  <si>
    <t>REFORZAMIENTO DE GUIAS CURVAS DE ENTRADA</t>
  </si>
  <si>
    <t>MELVIN OLIVORIO / DANIEL MARROQUIN</t>
  </si>
  <si>
    <t>SE SOLDARON Y REFORZÓ GUIAS DE ENTRADA DE LAVADORA DE BOTELLAS</t>
  </si>
  <si>
    <t>REALIZAR CASTIGADERA A EJE DE MOTORES DE TRANSPORTE</t>
  </si>
  <si>
    <t>SE REALIZARON CASTIGADERAS EN TODOS LOS TRAMOS</t>
  </si>
  <si>
    <t>Hay que colocar un seguro omega en un eje y se aorovecho a limpiar housing de cada motor.</t>
  </si>
  <si>
    <t>INSPECCION DE ESTADO DE GRASA Y PUNTOS DE LUBRICACION</t>
  </si>
  <si>
    <t>TRICOMBUS</t>
  </si>
  <si>
    <t>SE REALIZO POR PARTE DE TRICOMBUS Y SE REVISARON PUNTOS DE LUBRICACION DE LAVADORA</t>
  </si>
  <si>
    <t>LIMPIEZA DE SISTEMA DE ENFRIAMIENTO DE PANELES ELECTRICOS</t>
  </si>
  <si>
    <t>SE REALIZO LIMPIEZA DEL AIRE ACONDICIONADO DEL PANEL DE LA LAVADORA DE BOTELLAS</t>
  </si>
  <si>
    <t>TRANSPORTE CAJAS</t>
  </si>
  <si>
    <t>LIMPIEZA E INSPECCION DE CONECTORES DE SENSORES Y FOTOCELDAS</t>
  </si>
  <si>
    <t>SE REALIZO LIMPIEZA DE SENSORES Y CONECTORES CON LA AYUDA DEL OPERADOR</t>
  </si>
  <si>
    <t>SE REALIZO LIMPIEZA DE CONECTORES Y SENSORES CON LA AYUDA DEL OPERADOR</t>
  </si>
  <si>
    <t>REVISION DE BOLSA DE CADENA DE TRACCION PRINCIPAL</t>
  </si>
  <si>
    <t>TANQUE 4 SE ENCONTRÓ UNA BOLSA QUE HAY QUE DISTRIBUIR, SE TENSÓ A 29CM LA DISTANCIA DE DOS TENSORES</t>
  </si>
  <si>
    <t>REALIZAR CASTIGADERA A EJE DE MOTORES DE TRANSPORTE C15 - C20</t>
  </si>
  <si>
    <t>SE REALIZO AL C15 Y C16 QUEDAN PENDIENTES LOS DEMAS MOTORES</t>
  </si>
  <si>
    <t xml:space="preserve">TRANSPORTE </t>
  </si>
  <si>
    <t>COLOCACION DE CONECTORES IP69 EN SENSORES DE BALANCINES</t>
  </si>
  <si>
    <t>SE REEMPLAZARON LOS CONECTORES</t>
  </si>
  <si>
    <t>CAMBIO DE FILTROS POLARIZADORES DEL EBI</t>
  </si>
  <si>
    <t>COLOCARLE VARILLA ROSCADA PARA AJUSTE DE FORMATO</t>
  </si>
  <si>
    <t>COLOCAR CASTIGADERA A MOTORES DEL B09 AL B17</t>
  </si>
  <si>
    <t>SE LE REALIZARON CASTIGADERAS A MOTORES Y SE LIMPIARON CHUMACERAS Y GUARDAS DE CHUMACERAS</t>
  </si>
  <si>
    <t>CAMBIAR PERNOS POR REMACHES DE GUIAS HORIZONTALES</t>
  </si>
  <si>
    <t>Operación</t>
  </si>
  <si>
    <t>MANTENIMIENTO A MOTOR CEPILLO #2</t>
  </si>
  <si>
    <t>MANTENIMIENTO A CANASTOS TORCIDOS</t>
  </si>
  <si>
    <t xml:space="preserve">SINCRONIZACION CON TORNILLO SINFIN Y ESTRELLA DE ENTRADA </t>
  </si>
  <si>
    <t>CAMBIO DE RETENEDORES R1 Y R2 POR FUGA</t>
  </si>
  <si>
    <t>ORDENAMIENTO DE CABLE DE PISTON NEUMATICO MESA DE CARGA</t>
  </si>
  <si>
    <t>ANDREA C.</t>
  </si>
  <si>
    <t>REVISIÓN DE NIVEL DE ACEITE DE MOTOR DE CORTINA Y TRASLACION CABEZAL</t>
  </si>
  <si>
    <t>Se revisó nivel de aceite y no se encuentran fugas y el aceite en buen estado</t>
  </si>
  <si>
    <t>REVISIÓN DE NIVEL DE ACEITE DE MOTOR DE ELEVACION</t>
  </si>
  <si>
    <t>REVISIÓN DE NIVEL DE ACEITE DE MOTOR DE TRASLACION HORIZONTAL</t>
  </si>
  <si>
    <t>CAMBIO DE SENSORES DE ENTRADA DE PASTEURIZADOR</t>
  </si>
  <si>
    <t>Hay que modificar la base del sensor para poder cambiarlo por ende es necesario reprogramarlo</t>
  </si>
  <si>
    <t>REVISION DE CONECTORES, SONDAS Y CONEXIONES DE SENSORES TEMP</t>
  </si>
  <si>
    <t>SE LIMPIARON SENSORES Y CONECTORES</t>
  </si>
  <si>
    <t>REVISION DE CONECTORES, SONDAS Y CONEXIONES DE SENSORES DE NIVEL</t>
  </si>
  <si>
    <t>CREACION DE RECETA Y ESTANDAR DE SUPREMA ROJA 330ML</t>
  </si>
  <si>
    <t>Automatización</t>
  </si>
  <si>
    <t>Se creo la receta pero no se ajusto la inspección, es necesario etiquetar las botellas para ajustar la inspección</t>
  </si>
  <si>
    <t>MONTAJE DE MOTOR DE CEPILLO TK #2</t>
  </si>
  <si>
    <t>SE REALIZO MONTAJE DE MOTOR DE CEPILLO TK#2</t>
  </si>
  <si>
    <t xml:space="preserve">ENDEREZADO DE 3 CANASTOS TORCIDOS </t>
  </si>
  <si>
    <t>TRP LAV EBI</t>
  </si>
  <si>
    <t>FABRICACION DE BANDEJA RECOLECTORA DE LUBRICACION TRAMO SALIDA LAVADORA</t>
  </si>
  <si>
    <t>LIMPIEZA DE CANALETA ELECTRICA TRAMO PAST A ETQ</t>
  </si>
  <si>
    <t>LIMPIEZA DE CANALETA ELECTRICA TRAMO ETQ A ENCA</t>
  </si>
  <si>
    <t>Jeremias Miranda</t>
  </si>
  <si>
    <t>LIMPIEZA DE PANEL ELECTRICO Y RE APRETE DE CONEXIONES</t>
  </si>
  <si>
    <t>RE ORDENAMIENTO DE PANEL DE CONTROL SOBRE LAVADORA</t>
  </si>
  <si>
    <t>INSPECCIÓN  EN LAVADORA DE BOTELLAS</t>
  </si>
  <si>
    <t>DESATASCO DE MALLLA EXTRACTOR 2</t>
  </si>
  <si>
    <t xml:space="preserve">REPARACION DE BARRA DE SODA </t>
  </si>
  <si>
    <t>Bascula envasado</t>
  </si>
  <si>
    <t>REPARACION DE DISPLAY DE BASCULA</t>
  </si>
  <si>
    <t>LIMPIEZA DE CANALETA ELECTRICA TRAMO DESENCA A LAVCAJ</t>
  </si>
  <si>
    <t>APOYO A MOVIMIENTO DE MALLA EXTRACTOR 2</t>
  </si>
  <si>
    <t>Rene Rodriguez</t>
  </si>
  <si>
    <t>CAMBIO DE FAJA TRANSPORTA BOTELLAS</t>
  </si>
  <si>
    <t>FERNANDO CHÁVEZ</t>
  </si>
  <si>
    <t xml:space="preserve">TRP DPL CAJA A DESENCA </t>
  </si>
  <si>
    <t>LIMPIEZA E INSPECCION DE CADENAS, SPROCKETS Y MOTORES DE TRANSPORTE</t>
  </si>
  <si>
    <t>TRP DESENCA A LAVBOT</t>
  </si>
  <si>
    <t>TRP EBI A LLEN</t>
  </si>
  <si>
    <t>TRP PAST A SECADOR</t>
  </si>
  <si>
    <t>TRP SECADOR A ETQ</t>
  </si>
  <si>
    <t>LIMPIEZA E INSPECCION DE SISTEMA DE ACCIONAMIENTO PRINCIPAL #57</t>
  </si>
  <si>
    <t>CAMBIO DE HABAS CONICAS #218</t>
  </si>
  <si>
    <t>REPARACION DE CANALETA ELECTRICA #209</t>
  </si>
  <si>
    <t>REPARACION DE FUGA DE PRESOSTATO DANFOSS #178</t>
  </si>
  <si>
    <t>QUITAR TOPE CERCA DE PLATAFORMA DE BARRAS DE ENJUAGUE FINAL #202</t>
  </si>
  <si>
    <t>COLOCACION DE TAPADERA DE CANALETA ELECTRICA #205</t>
  </si>
  <si>
    <t>TRP RECHAZO</t>
  </si>
  <si>
    <t>REPARAR FUGA DE ACEITE EN MOTOR B44 #190</t>
  </si>
  <si>
    <t>REPARAR FUGA DE ACEITE EN MOTOR C18 #173</t>
  </si>
  <si>
    <t>ELIMINAR SISTEMA INTERLOCKS DE CONTACTOS K342 - K302</t>
  </si>
  <si>
    <t>LIMPIEZA E INSPECCION DE CONECTORES DE SENSORES DE EQUIPO</t>
  </si>
  <si>
    <t>RECORTE DE ESLABONES MALLA #2</t>
  </si>
  <si>
    <t>EMILIO S. / NESTOR R.</t>
  </si>
  <si>
    <t>SE RECORTO ESLABONES Y SE REALIZO MONTAJE DE MALLA</t>
  </si>
  <si>
    <t>CAMBIO DE GUIAS DE DESLIZAMIENTO TANQUE #2</t>
  </si>
  <si>
    <t>SE CAMBIARON GUIAS DE DESLIZAMIENTO</t>
  </si>
  <si>
    <t>LIMPIEZA DE TODOS LOS A/C DE PANELES ELECTRICOS</t>
  </si>
  <si>
    <t>TRANSPORTE BOTELLA</t>
  </si>
  <si>
    <t>LIMPIEZA E INSPECCION DE CONECTORES DE SENSORES DE BALANCINES</t>
  </si>
  <si>
    <t>TRANSPORTE CAJA</t>
  </si>
  <si>
    <t xml:space="preserve">LIMPIEZA E INSPECCION DE CONECTORES DE FOTOCELDAS </t>
  </si>
  <si>
    <t>REALIZAR CONEXION FORMAL DE ETHERNET PARA EWON</t>
  </si>
  <si>
    <t>FERNANDO C. / RENE R.</t>
  </si>
  <si>
    <t>SE HIZO CONEXION FORMAL DEL EWON MEDIANTE CANALETA ELECTRICA</t>
  </si>
  <si>
    <t>LIMPIEZA DE GRASA DEBAJO DE LLENADORA #57</t>
  </si>
  <si>
    <t xml:space="preserve">PONER ATENCION A FAJAS DE TRACCION PARTE INFERIOR DE CARRUSEL </t>
  </si>
  <si>
    <t>TRP DPL CAJA A DESENCA</t>
  </si>
  <si>
    <t>REALIZAR CASTIGADERA DEL C01 AL C05</t>
  </si>
  <si>
    <t>SE REPROGRAMAN POR INCAPACIDAD</t>
  </si>
  <si>
    <t>#67 — Limpieza general y lubricación de cadenas y sistema de transmisión</t>
  </si>
  <si>
    <t>#205 — Instalación de tapaderas</t>
  </si>
  <si>
    <t>Reparación de canaletas electricas tramo debajo mezanine</t>
  </si>
  <si>
    <t>#158 — Ej: frenos de enca y desenca</t>
  </si>
  <si>
    <t>NESTOR R.</t>
  </si>
  <si>
    <t>LIMPIEZA E INSPECCION DE SENSORES TRP TARIMAS - #211</t>
  </si>
  <si>
    <t>FERNANDO C.</t>
  </si>
  <si>
    <t>#208 — Reordenamiento de cableado Ecolab</t>
  </si>
  <si>
    <t>ORDENAMIENTO DE CABLE EN PANEL DE TAPAS - #193</t>
  </si>
  <si>
    <t>RENE R.</t>
  </si>
  <si>
    <t>#243 — Fuga en bomba de soda de tk1</t>
  </si>
  <si>
    <t>EMILIO S.</t>
  </si>
  <si>
    <t>Lauter</t>
  </si>
  <si>
    <t>Inspeccion por fugas dentro de Lauter</t>
  </si>
  <si>
    <t>JEREMIAS M.</t>
  </si>
  <si>
    <t>Tolva de azúcar</t>
  </si>
  <si>
    <t>Soldadura de tubo para tecle</t>
  </si>
  <si>
    <t>Ciclón de Silo</t>
  </si>
  <si>
    <t>Mantenimiento a rodamientos y valvula rotativa</t>
  </si>
  <si>
    <t>REVISION Y CAMBIO DE ACEITE TURBINA EXTRACTOR #1 AL #3</t>
  </si>
  <si>
    <t>NESTOR R. / JEREMIAS M.</t>
  </si>
  <si>
    <t>REVISION NIVEL DE ACEITE EN MOTOR UÑAS DE ENTRADA Y EMPUJADOR</t>
  </si>
  <si>
    <t>ENDEREZADO DE PINES DE MALLA SUPERIOR E INFERIOR</t>
  </si>
  <si>
    <t>JULIO Q.</t>
  </si>
  <si>
    <t>#210 — Reparación de canaleta</t>
  </si>
  <si>
    <t>#245 — Hacer tapas laterales en tanques estractores de etiketa</t>
  </si>
  <si>
    <t>MELVIN O.</t>
  </si>
  <si>
    <t>#189 — Reparación de cerradura</t>
  </si>
  <si>
    <t>REVISION DE FOTOCELDAS Y REFLECTIVOS</t>
  </si>
  <si>
    <t>#198 — Fuga en secador</t>
  </si>
  <si>
    <t>ENDEREZADO DE CANASTOR PORTABOTELLAS</t>
  </si>
  <si>
    <t>JEREMIAS M. / JULIO Q.</t>
  </si>
  <si>
    <t>Prueba1</t>
  </si>
  <si>
    <t>Prueba 2</t>
  </si>
  <si>
    <t>Prueba 3</t>
  </si>
  <si>
    <t>Prueba 4</t>
  </si>
  <si>
    <t>Prueba 5</t>
  </si>
  <si>
    <t>Prueba 6</t>
  </si>
  <si>
    <t>Prueba 7</t>
  </si>
  <si>
    <t>Prueba 8</t>
  </si>
  <si>
    <t>prueba 9</t>
  </si>
  <si>
    <t>prueba 10</t>
  </si>
  <si>
    <t>prueba 11</t>
  </si>
  <si>
    <t>Equipos</t>
  </si>
  <si>
    <t>Mecánica</t>
  </si>
  <si>
    <t>Eléctrica</t>
  </si>
  <si>
    <t>Instrumentación</t>
  </si>
  <si>
    <t>Descripción</t>
  </si>
  <si>
    <t>Horas de operación</t>
  </si>
  <si>
    <t>Tiempo</t>
  </si>
  <si>
    <t>Ocurr</t>
  </si>
  <si>
    <t>Tiempo2</t>
  </si>
  <si>
    <t>Ocurr3</t>
  </si>
  <si>
    <t>Tiempo5</t>
  </si>
  <si>
    <t>Ocurr6</t>
  </si>
  <si>
    <t>Tiempo8</t>
  </si>
  <si>
    <t>Ocurr9</t>
  </si>
  <si>
    <t>Trp botellas (PAST/SECADOR BOT) L501</t>
  </si>
  <si>
    <t>Lavadora de Botellas L501</t>
  </si>
  <si>
    <t>Llenadora  L501</t>
  </si>
  <si>
    <t>Encajonadora L501</t>
  </si>
  <si>
    <t>Pasteurizadora L501</t>
  </si>
  <si>
    <t>Trp Bot(LAV.BOT/INSP.) L501</t>
  </si>
  <si>
    <t>Video Jet No.1 L501</t>
  </si>
  <si>
    <t>Coronadora L501</t>
  </si>
  <si>
    <t>Trp botellas (Llenadora/PAST.) L501</t>
  </si>
  <si>
    <t>Despaletizadora de Bulk L501</t>
  </si>
  <si>
    <t>Variable</t>
  </si>
  <si>
    <t>Valor</t>
  </si>
  <si>
    <t>Horas Operación Mes</t>
  </si>
  <si>
    <t>Meta MTTR</t>
  </si>
  <si>
    <t>Meta MTBF</t>
  </si>
  <si>
    <t>Meta Disponibilidad</t>
  </si>
  <si>
    <t>Viernes 5/6/2026</t>
  </si>
  <si>
    <t>Sábado 6/6/2026</t>
  </si>
  <si>
    <t>Domingo 7/6/2026</t>
  </si>
  <si>
    <t>6:00 - 14:00</t>
  </si>
  <si>
    <t>DD</t>
  </si>
  <si>
    <t>10:00 - 18:00</t>
  </si>
  <si>
    <t>18:00 - 6:00</t>
  </si>
  <si>
    <t>Samuel Cruz</t>
  </si>
  <si>
    <t>Incapacidad</t>
  </si>
  <si>
    <t>Rafael Carrillo</t>
  </si>
  <si>
    <t>8:00 - 16:00</t>
  </si>
  <si>
    <t>6:00 - 18:00</t>
  </si>
  <si>
    <t>Bryan Iglesias</t>
  </si>
  <si>
    <t>8:00 - 12:00</t>
  </si>
  <si>
    <t>18:00 - 5:00</t>
  </si>
  <si>
    <t>Semana 30</t>
  </si>
  <si>
    <t>Lunes 1/6/2026</t>
  </si>
  <si>
    <t>Martes 2/6/2026</t>
  </si>
  <si>
    <t>Miércoles 3/6/2026</t>
  </si>
  <si>
    <t>Lunes 20/07/26</t>
  </si>
  <si>
    <t>Equipo</t>
  </si>
  <si>
    <t>9:00 - 18:00</t>
  </si>
  <si>
    <t>8:00 - 17:00</t>
  </si>
  <si>
    <t>LLENADORA</t>
  </si>
  <si>
    <t>Lubricación y mantenimiento autonomo</t>
  </si>
  <si>
    <t>8:00 - 14:00</t>
  </si>
  <si>
    <t>LAVADORA DE BOT</t>
  </si>
  <si>
    <t>Mantenimiento autonomo y trabajos con técnicos San Martin</t>
  </si>
  <si>
    <t>Marlon Vasquez</t>
  </si>
  <si>
    <t>9:00 - 17:00</t>
  </si>
  <si>
    <t>Selvin Fortin</t>
  </si>
  <si>
    <t>Cuenta de Estatus</t>
  </si>
  <si>
    <t>Suma de Tiempo estimado (h)</t>
  </si>
  <si>
    <t>(en blanco)</t>
  </si>
  <si>
    <t>Total general</t>
  </si>
  <si>
    <t>Total Ordenes Programadas</t>
  </si>
  <si>
    <t>Ordenes completadas (Cerradas)</t>
  </si>
  <si>
    <t>Ordenes Pendientes</t>
  </si>
  <si>
    <t>% Cumplimiento de Plan</t>
  </si>
  <si>
    <t xml:space="preserve">Cuenta de Tipo </t>
  </si>
  <si>
    <t xml:space="preserve">Tener consumibles a la mano antes del mantenimiento para entregar para no perder tiempo recolectando </t>
  </si>
  <si>
    <t>Tener repuestos cargados a la orden de trabajo y listos para recolectar</t>
  </si>
  <si>
    <t>Las ordenes deben de ir firmadas por supervisor mantenimiento y aceptación de supervisor de envasado</t>
  </si>
  <si>
    <t>Las ordenes deben de llevar la descripción del trabajo hecho por los operadores y técnicos de mantenimiento</t>
  </si>
  <si>
    <t xml:space="preserve">Se entregan ordenes a los supervisores y ellos deben de hacer la gestión del tiempo de ejecución y asignación de ordenes </t>
  </si>
  <si>
    <t>Nadie de mantenimiento se retira si no se han probado los equipos junto con operador</t>
  </si>
  <si>
    <t>Se debe de respetar la programación designada para CADA OPERADOR</t>
  </si>
  <si>
    <t>Máquinas</t>
  </si>
  <si>
    <t>Asignación</t>
  </si>
  <si>
    <t>MTBF</t>
  </si>
  <si>
    <t>Eficiencia</t>
  </si>
  <si>
    <t>REPORTE POST-MANTENIMIENTO</t>
  </si>
  <si>
    <t>Julio 2026 - Resumen de Cumplimiento</t>
  </si>
  <si>
    <t>📊 INDICADORES CLAVE DE CUMPLIMIENTO</t>
  </si>
  <si>
    <t>Total Órdenes Programadas</t>
  </si>
  <si>
    <t>Órdenes Ejecutadas (Cerradas)</t>
  </si>
  <si>
    <t>Órdenes Pendientes</t>
  </si>
  <si>
    <t>⭐ % CUMPLIMIENTO DEL PLAN</t>
  </si>
  <si>
    <t>📋 RESUMEN POR ESTATUS</t>
  </si>
  <si>
    <t>Cantidad</t>
  </si>
  <si>
    <t>% del Total</t>
  </si>
  <si>
    <t>Barra</t>
  </si>
  <si>
    <t>✅ Cerrado</t>
  </si>
  <si>
    <t>🔴 Abierto</t>
  </si>
  <si>
    <t>🟡 En Proceso</t>
  </si>
  <si>
    <t>⚪ Sin Estatus</t>
  </si>
  <si>
    <t>TOTAL</t>
  </si>
  <si>
    <t>👷 CUMPLIMIENTO POR TIPO DE PERSONAL</t>
  </si>
  <si>
    <t>📊 CUMPLIMIENTO DEL PLAN</t>
  </si>
  <si>
    <t>Programadas</t>
  </si>
  <si>
    <t>Cerradas</t>
  </si>
  <si>
    <t>% Cumpl.</t>
  </si>
  <si>
    <t>Estado</t>
  </si>
  <si>
    <t>🔧 Mecánico</t>
  </si>
  <si>
    <t>Ejecutadas</t>
  </si>
  <si>
    <t>👨‍🔧 Operador</t>
  </si>
  <si>
    <t>Pendientes</t>
  </si>
  <si>
    <t>⚡ Eléctrico</t>
  </si>
  <si>
    <t>📝 CONCLUSIONES Y OBSERVACIONES</t>
  </si>
  <si>
    <t>Generado: 07 de julio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</si>
</sst>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font>
      <sz val="11"/>
      <color theme="1"/>
      <name val="Calibri"/>
      <family val="2"/>
      <scheme val="minor"/>
    </font>
    <font>
      <b/>
      <sz val="11"/>
      <color rgb="FFFFFFFF"/>
      <name val="Aptos Narrow"/>
      <family val="2"/>
    </font>
    <font>
      <sz val="11"/>
      <color rgb="FF000000"/>
      <name val="Calibri"/>
      <family val="2"/>
    </font>
    <font>
      <sz val="11"/>
      <color rgb="FF006100"/>
      <name val="Calibri"/>
      <family val="2"/>
    </font>
    <font>
      <sz val="11"/>
      <color rgb="FF9C0006"/>
      <name val="Calibri"/>
      <family val="2"/>
    </font>
    <font>
      <b/>
      <sz val="24"/>
      <color rgb="FFFFFFFF"/>
      <name val="Calibri"/>
      <family val="2"/>
      <scheme val="minor"/>
    </font>
    <font>
      <i/>
      <sz val="12"/>
      <color theme="1"/>
      <name val="Calibri"/>
      <family val="2"/>
      <scheme val="minor"/>
    </font>
    <font>
      <b/>
      <sz val="14"/>
      <color rgb="FFFFFFFF"/>
      <name val="Calibri"/>
      <family val="2"/>
      <scheme val="minor"/>
    </font>
    <font>
      <b/>
      <sz val="11"/>
      <color theme="1"/>
      <name val="Calibri"/>
      <family val="2"/>
      <scheme val="minor"/>
    </font>
    <font>
      <b/>
      <sz val="32"/>
      <color rgb="FF375623"/>
      <name val="Calibri"/>
      <family val="2"/>
      <scheme val="minor"/>
    </font>
    <font>
      <b/>
      <sz val="32"/>
      <color rgb="FF2E75B6"/>
      <name val="Calibri"/>
      <family val="2"/>
      <scheme val="minor"/>
    </font>
    <font>
      <b/>
      <sz val="32"/>
      <color rgb="FFC65911"/>
      <name val="Calibri"/>
      <family val="2"/>
      <scheme val="minor"/>
    </font>
    <font>
      <b/>
      <sz val="12"/>
      <color theme="1"/>
      <name val="Calibri"/>
      <family val="2"/>
      <scheme val="minor"/>
    </font>
    <font>
      <b/>
      <sz val="36"/>
      <color rgb="FF806000"/>
      <name val="Calibri"/>
      <family val="2"/>
      <scheme val="minor"/>
    </font>
    <font>
      <b/>
      <sz val="12"/>
      <color rgb="FFFFFFFF"/>
      <name val="Calibri"/>
      <family val="2"/>
      <scheme val="minor"/>
    </font>
    <font>
      <sz val="11"/>
      <color rgb="FF70AD47"/>
      <name val="Calibri"/>
      <family val="2"/>
      <scheme val="minor"/>
    </font>
    <font>
      <sz val="11"/>
      <color rgb="FFC00000"/>
      <name val="Calibri"/>
      <family val="2"/>
      <scheme val="minor"/>
    </font>
    <font>
      <sz val="11"/>
      <color rgb="FFFFC000"/>
      <name val="Calibri"/>
      <family val="2"/>
      <scheme val="minor"/>
    </font>
    <font>
      <sz val="11"/>
      <color rgb="FFFFFFFF"/>
      <name val="Calibri"/>
      <family val="2"/>
      <scheme val="minor"/>
    </font>
    <font>
      <sz val="11"/>
      <color rgb="FF808080"/>
      <name val="Calibri"/>
      <family val="2"/>
      <scheme val="minor"/>
    </font>
    <font>
      <i/>
      <sz val="9"/>
      <color rgb="FF808080"/>
      <name val="Calibri"/>
      <family val="2"/>
      <scheme val="minor"/>
    </font>
    <font>
      <sz val="72"/>
      <color theme="1"/>
      <name val="Calibri"/>
      <family val="2"/>
      <scheme val="minor"/>
    </font>
    <font>
      <sz val="11"/>
      <color rgb="FF000000"/>
      <name val="Calibri"/>
      <charset val="1"/>
    </font>
    <font>
      <sz val="11"/>
      <color rgb="FF000000"/>
      <name val="Aptos Narrow"/>
      <family val="2"/>
    </font>
  </fonts>
  <fills count="31">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C6EFCE"/>
        <bgColor rgb="FFD9D9D9"/>
      </patternFill>
    </fill>
    <fill>
      <patternFill patternType="solid">
        <fgColor rgb="FFC6EFCE"/>
        <bgColor rgb="FF000000"/>
      </patternFill>
    </fill>
    <fill>
      <patternFill patternType="solid">
        <fgColor rgb="FFFFC7CE"/>
        <bgColor rgb="FF000000"/>
      </patternFill>
    </fill>
    <fill>
      <patternFill patternType="solid">
        <fgColor rgb="FFFFC7CE"/>
        <bgColor rgb="FFD9D9D9"/>
      </patternFill>
    </fill>
    <fill>
      <patternFill patternType="solid">
        <fgColor rgb="FFFFFF00"/>
        <bgColor rgb="FF000000"/>
      </patternFill>
    </fill>
    <fill>
      <patternFill patternType="solid">
        <fgColor theme="0" tint="-0.149998474074526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2E75B6"/>
        <bgColor indexed="64"/>
      </patternFill>
    </fill>
    <fill>
      <patternFill patternType="solid">
        <fgColor rgb="FFD6E3F8"/>
        <bgColor indexed="64"/>
      </patternFill>
    </fill>
    <fill>
      <patternFill patternType="solid">
        <fgColor rgb="FF4472C4"/>
        <bgColor indexed="64"/>
      </patternFill>
    </fill>
    <fill>
      <patternFill patternType="solid">
        <fgColor rgb="FFE2EFDA"/>
        <bgColor indexed="64"/>
      </patternFill>
    </fill>
    <fill>
      <patternFill patternType="solid">
        <fgColor rgb="FFDDEBF7"/>
        <bgColor indexed="64"/>
      </patternFill>
    </fill>
    <fill>
      <patternFill patternType="solid">
        <fgColor rgb="FFFCE4D6"/>
        <bgColor indexed="64"/>
      </patternFill>
    </fill>
    <fill>
      <patternFill patternType="solid">
        <fgColor rgb="FFFFF2CC"/>
        <bgColor indexed="64"/>
      </patternFill>
    </fill>
    <fill>
      <patternFill patternType="solid">
        <fgColor rgb="FFD6DCE4"/>
        <bgColor indexed="64"/>
      </patternFill>
    </fill>
    <fill>
      <patternFill patternType="solid">
        <fgColor rgb="FF70AD47"/>
        <bgColor indexed="64"/>
      </patternFill>
    </fill>
    <fill>
      <patternFill patternType="solid">
        <fgColor rgb="FFED7D31"/>
        <bgColor indexed="64"/>
      </patternFill>
    </fill>
    <fill>
      <patternFill patternType="solid">
        <fgColor rgb="FFF2F2F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6">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rgb="FF9BC2E6"/>
      </top>
      <bottom/>
      <diagonal/>
    </border>
    <border>
      <left/>
      <right/>
      <top style="thin">
        <color theme="8"/>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9">
    <xf numFmtId="0" fontId="0" fillId="0" borderId="0" xfId="0"/>
    <xf numFmtId="0" fontId="2" fillId="3" borderId="1" xfId="0" applyFont="1" applyFill="1" applyBorder="1"/>
    <xf numFmtId="14" fontId="2" fillId="3" borderId="1" xfId="0" applyNumberFormat="1" applyFont="1" applyFill="1" applyBorder="1"/>
    <xf numFmtId="0" fontId="2" fillId="0" borderId="1" xfId="0" applyFont="1" applyBorder="1"/>
    <xf numFmtId="14" fontId="2" fillId="0" borderId="1" xfId="0" applyNumberFormat="1" applyFont="1" applyBorder="1"/>
    <xf numFmtId="0" fontId="2" fillId="8" borderId="1" xfId="0" applyFont="1" applyFill="1" applyBorder="1"/>
    <xf numFmtId="0" fontId="2" fillId="0" borderId="1" xfId="0" applyFont="1" applyBorder="1" applyAlignment="1">
      <alignment wrapText="1"/>
    </xf>
    <xf numFmtId="0" fontId="2" fillId="8" borderId="1" xfId="0" applyFont="1" applyFill="1" applyBorder="1" applyAlignment="1">
      <alignment wrapText="1"/>
    </xf>
    <xf numFmtId="0" fontId="2" fillId="3" borderId="1" xfId="0" applyFont="1" applyFill="1" applyBorder="1" applyAlignment="1">
      <alignment wrapText="1"/>
    </xf>
    <xf numFmtId="0" fontId="3" fillId="4" borderId="1" xfId="0" applyFont="1" applyFill="1" applyBorder="1"/>
    <xf numFmtId="0" fontId="3" fillId="5" borderId="1" xfId="0" applyFont="1" applyFill="1" applyBorder="1"/>
    <xf numFmtId="0" fontId="4" fillId="6" borderId="1" xfId="0" applyFont="1" applyFill="1" applyBorder="1"/>
    <xf numFmtId="0" fontId="4" fillId="7" borderId="1" xfId="0" applyFont="1" applyFill="1" applyBorder="1"/>
    <xf numFmtId="0" fontId="1" fillId="2" borderId="2" xfId="0" applyFont="1" applyFill="1" applyBorder="1"/>
    <xf numFmtId="0" fontId="2" fillId="0" borderId="3" xfId="0" applyFont="1" applyBorder="1"/>
    <xf numFmtId="0" fontId="2" fillId="8" borderId="3" xfId="0" applyFont="1" applyFill="1" applyBorder="1"/>
    <xf numFmtId="0" fontId="2" fillId="0" borderId="3" xfId="0" applyFont="1" applyBorder="1" applyAlignment="1">
      <alignment wrapText="1"/>
    </xf>
    <xf numFmtId="14" fontId="2" fillId="0" borderId="3" xfId="0" applyNumberFormat="1" applyFont="1" applyBorder="1"/>
    <xf numFmtId="0" fontId="0" fillId="0" borderId="0" xfId="0" pivotButton="1"/>
    <xf numFmtId="164" fontId="2" fillId="0" borderId="1" xfId="0" applyNumberFormat="1" applyFont="1" applyBorder="1" applyAlignment="1">
      <alignment horizontal="left"/>
    </xf>
    <xf numFmtId="164" fontId="2" fillId="3" borderId="1" xfId="0" applyNumberFormat="1" applyFont="1" applyFill="1" applyBorder="1" applyAlignment="1">
      <alignment horizontal="left"/>
    </xf>
    <xf numFmtId="10" fontId="0" fillId="0" borderId="0" xfId="0" applyNumberFormat="1"/>
    <xf numFmtId="0" fontId="0" fillId="9" borderId="0" xfId="0" applyFill="1"/>
    <xf numFmtId="0" fontId="2" fillId="0" borderId="0" xfId="0" applyFont="1"/>
    <xf numFmtId="11" fontId="0" fillId="0" borderId="0" xfId="0" applyNumberFormat="1"/>
    <xf numFmtId="0" fontId="2" fillId="0" borderId="1" xfId="0" applyFont="1" applyBorder="1" applyAlignment="1">
      <alignment horizontal="left"/>
    </xf>
    <xf numFmtId="0" fontId="2" fillId="0" borderId="3" xfId="0" applyFont="1" applyBorder="1" applyAlignment="1">
      <alignment horizontal="left"/>
    </xf>
    <xf numFmtId="0" fontId="0" fillId="12" borderId="0" xfId="0" applyFill="1"/>
    <xf numFmtId="0" fontId="2" fillId="0" borderId="3" xfId="0" applyFont="1" applyBorder="1" applyAlignment="1">
      <alignment horizontal="right"/>
    </xf>
    <xf numFmtId="0" fontId="2" fillId="0" borderId="1" xfId="0" applyFont="1" applyBorder="1" applyAlignment="1">
      <alignment horizontal="right"/>
    </xf>
    <xf numFmtId="1" fontId="2" fillId="0" borderId="3" xfId="0" applyNumberFormat="1" applyFont="1" applyBorder="1" applyAlignment="1">
      <alignment horizontal="center"/>
    </xf>
    <xf numFmtId="14" fontId="2" fillId="0" borderId="3" xfId="0" applyNumberFormat="1" applyFont="1" applyBorder="1" applyAlignment="1">
      <alignment horizontal="center"/>
    </xf>
    <xf numFmtId="0" fontId="8" fillId="20" borderId="12" xfId="0" applyFont="1" applyFill="1" applyBorder="1" applyAlignment="1">
      <alignment horizontal="center"/>
    </xf>
    <xf numFmtId="0" fontId="0" fillId="0" borderId="12" xfId="0" applyBorder="1"/>
    <xf numFmtId="165" fontId="0" fillId="0" borderId="12" xfId="0" applyNumberFormat="1" applyBorder="1"/>
    <xf numFmtId="0" fontId="15" fillId="0" borderId="12" xfId="0" applyFont="1" applyBorder="1"/>
    <xf numFmtId="0" fontId="16" fillId="0" borderId="12" xfId="0" applyFont="1" applyBorder="1"/>
    <xf numFmtId="0" fontId="17" fillId="0" borderId="12" xfId="0" applyFont="1" applyBorder="1"/>
    <xf numFmtId="0" fontId="8" fillId="0" borderId="12" xfId="0" applyFont="1" applyBorder="1"/>
    <xf numFmtId="165" fontId="8" fillId="0" borderId="12" xfId="0" applyNumberFormat="1" applyFont="1" applyBorder="1"/>
    <xf numFmtId="0" fontId="8" fillId="20" borderId="12" xfId="0" applyFont="1" applyFill="1" applyBorder="1"/>
    <xf numFmtId="0" fontId="0" fillId="23" borderId="0" xfId="0" applyFill="1"/>
    <xf numFmtId="0" fontId="0" fillId="23" borderId="4" xfId="0" applyFill="1" applyBorder="1"/>
    <xf numFmtId="0" fontId="0" fillId="23" borderId="7" xfId="0" applyFill="1" applyBorder="1"/>
    <xf numFmtId="0" fontId="0" fillId="23" borderId="8" xfId="0" applyFill="1" applyBorder="1"/>
    <xf numFmtId="0" fontId="0" fillId="23" borderId="10" xfId="0" applyFill="1" applyBorder="1"/>
    <xf numFmtId="0" fontId="0" fillId="23" borderId="11" xfId="0" applyFill="1" applyBorder="1"/>
    <xf numFmtId="0" fontId="19" fillId="0" borderId="12" xfId="0" applyFont="1" applyBorder="1"/>
    <xf numFmtId="0" fontId="20" fillId="0" borderId="0" xfId="0" applyFont="1"/>
    <xf numFmtId="0" fontId="18" fillId="21" borderId="12" xfId="0" applyFont="1" applyFill="1" applyBorder="1"/>
    <xf numFmtId="0" fontId="18" fillId="22" borderId="12" xfId="0" applyFont="1" applyFill="1" applyBorder="1"/>
    <xf numFmtId="0" fontId="2" fillId="0" borderId="13" xfId="0" applyFont="1" applyBorder="1" applyAlignment="1">
      <alignment wrapText="1"/>
    </xf>
    <xf numFmtId="0" fontId="0" fillId="0" borderId="3" xfId="0" applyBorder="1"/>
    <xf numFmtId="2" fontId="2" fillId="0" borderId="3" xfId="0" applyNumberFormat="1" applyFont="1" applyBorder="1"/>
    <xf numFmtId="1" fontId="2" fillId="0" borderId="3" xfId="0" applyNumberFormat="1" applyFont="1" applyBorder="1"/>
    <xf numFmtId="2" fontId="2" fillId="0" borderId="0" xfId="0" applyNumberFormat="1" applyFont="1"/>
    <xf numFmtId="2" fontId="2" fillId="0" borderId="3" xfId="0" applyNumberFormat="1" applyFont="1" applyBorder="1" applyAlignment="1">
      <alignment horizontal="right"/>
    </xf>
    <xf numFmtId="1" fontId="2" fillId="0" borderId="3" xfId="0" applyNumberFormat="1" applyFont="1" applyBorder="1" applyAlignment="1">
      <alignment horizontal="right"/>
    </xf>
    <xf numFmtId="14" fontId="2" fillId="0" borderId="3" xfId="0" applyNumberFormat="1" applyFont="1" applyBorder="1" applyAlignment="1">
      <alignment horizontal="right"/>
    </xf>
    <xf numFmtId="0" fontId="0" fillId="0" borderId="14" xfId="0" applyBorder="1" applyAlignment="1">
      <alignment horizontal="left" vertical="center"/>
    </xf>
    <xf numFmtId="0" fontId="22" fillId="0" borderId="0" xfId="0" applyFont="1"/>
    <xf numFmtId="0" fontId="0" fillId="0" borderId="15" xfId="0" applyBorder="1" applyAlignment="1">
      <alignment horizontal="center"/>
    </xf>
    <xf numFmtId="0" fontId="0" fillId="10" borderId="15" xfId="0" applyFill="1" applyBorder="1"/>
    <xf numFmtId="0" fontId="0" fillId="0" borderId="15" xfId="0" applyBorder="1"/>
    <xf numFmtId="0" fontId="0" fillId="11" borderId="15" xfId="0" applyFill="1" applyBorder="1"/>
    <xf numFmtId="0" fontId="0" fillId="28" borderId="0" xfId="0" applyFill="1"/>
    <xf numFmtId="0" fontId="23" fillId="0" borderId="0" xfId="0" applyFont="1"/>
    <xf numFmtId="2" fontId="0" fillId="0" borderId="0" xfId="0" applyNumberFormat="1"/>
    <xf numFmtId="2" fontId="1" fillId="2" borderId="2" xfId="0" applyNumberFormat="1" applyFont="1" applyFill="1" applyBorder="1" applyAlignment="1">
      <alignment horizontal="center"/>
    </xf>
    <xf numFmtId="14" fontId="2" fillId="0" borderId="0" xfId="0" applyNumberFormat="1" applyFont="1"/>
    <xf numFmtId="0" fontId="0" fillId="29" borderId="0" xfId="0" applyFill="1"/>
    <xf numFmtId="0" fontId="0" fillId="30" borderId="0" xfId="0" applyFill="1"/>
    <xf numFmtId="164" fontId="2" fillId="0" borderId="3" xfId="0" applyNumberFormat="1" applyFont="1" applyBorder="1"/>
    <xf numFmtId="0" fontId="0" fillId="0" borderId="0" xfId="0" applyAlignment="1">
      <alignment vertical="center"/>
    </xf>
    <xf numFmtId="0" fontId="0" fillId="0" borderId="0" xfId="0" applyAlignment="1">
      <alignment horizontal="center" vertical="center"/>
    </xf>
    <xf numFmtId="0" fontId="8" fillId="26" borderId="0" xfId="0" applyFont="1" applyFill="1" applyAlignment="1">
      <alignment horizontal="center"/>
    </xf>
    <xf numFmtId="0" fontId="21" fillId="25" borderId="0" xfId="0" applyFont="1" applyFill="1" applyAlignment="1">
      <alignment horizontal="center" vertical="center"/>
    </xf>
    <xf numFmtId="0" fontId="21" fillId="26" borderId="0" xfId="0" applyFont="1" applyFill="1" applyAlignment="1">
      <alignment horizontal="center" vertical="center"/>
    </xf>
    <xf numFmtId="0" fontId="8" fillId="27" borderId="0" xfId="0" applyFont="1" applyFill="1" applyAlignment="1">
      <alignment horizontal="center"/>
    </xf>
    <xf numFmtId="9" fontId="21" fillId="27" borderId="0" xfId="0" applyNumberFormat="1" applyFont="1" applyFill="1" applyAlignment="1">
      <alignment horizontal="center" vertical="center"/>
    </xf>
    <xf numFmtId="0" fontId="8" fillId="24" borderId="0" xfId="0" applyFont="1" applyFill="1" applyAlignment="1">
      <alignment horizontal="center"/>
    </xf>
    <xf numFmtId="0" fontId="21" fillId="24" borderId="0" xfId="0" applyFont="1" applyFill="1" applyAlignment="1">
      <alignment horizontal="center" vertical="center"/>
    </xf>
    <xf numFmtId="0" fontId="8" fillId="25" borderId="0" xfId="0" applyFont="1" applyFill="1" applyAlignment="1">
      <alignment horizontal="center"/>
    </xf>
    <xf numFmtId="0" fontId="14" fillId="15" borderId="6" xfId="0" applyFont="1" applyFill="1" applyBorder="1" applyAlignment="1">
      <alignment horizontal="left"/>
    </xf>
    <xf numFmtId="0" fontId="14" fillId="15" borderId="5" xfId="0" applyFont="1" applyFill="1" applyBorder="1" applyAlignment="1">
      <alignment horizontal="left"/>
    </xf>
    <xf numFmtId="0" fontId="14" fillId="15" borderId="9" xfId="0" applyFont="1" applyFill="1" applyBorder="1" applyAlignment="1">
      <alignment horizontal="left"/>
    </xf>
    <xf numFmtId="0" fontId="5" fillId="13" borderId="0" xfId="0" applyFont="1" applyFill="1" applyAlignment="1">
      <alignment horizontal="center"/>
    </xf>
    <xf numFmtId="0" fontId="6" fillId="14" borderId="0" xfId="0" applyFont="1" applyFill="1" applyAlignment="1">
      <alignment horizontal="center"/>
    </xf>
    <xf numFmtId="0" fontId="7" fillId="15" borderId="0" xfId="0" applyFont="1" applyFill="1" applyAlignment="1">
      <alignment horizontal="center"/>
    </xf>
    <xf numFmtId="0" fontId="8" fillId="16" borderId="0" xfId="0" applyFont="1" applyFill="1" applyAlignment="1">
      <alignment horizontal="center"/>
    </xf>
    <xf numFmtId="0" fontId="9" fillId="16" borderId="0" xfId="0" applyFont="1" applyFill="1" applyAlignment="1">
      <alignment horizontal="center"/>
    </xf>
    <xf numFmtId="0" fontId="8" fillId="17" borderId="0" xfId="0" applyFont="1" applyFill="1" applyAlignment="1">
      <alignment horizontal="center"/>
    </xf>
    <xf numFmtId="0" fontId="10" fillId="17" borderId="0" xfId="0" applyFont="1" applyFill="1" applyAlignment="1">
      <alignment horizontal="center"/>
    </xf>
    <xf numFmtId="0" fontId="8" fillId="18" borderId="0" xfId="0" applyFont="1" applyFill="1" applyAlignment="1">
      <alignment horizontal="center"/>
    </xf>
    <xf numFmtId="0" fontId="11" fillId="18" borderId="0" xfId="0" applyFont="1" applyFill="1" applyAlignment="1">
      <alignment horizontal="center"/>
    </xf>
    <xf numFmtId="0" fontId="12" fillId="19" borderId="0" xfId="0" applyFont="1" applyFill="1" applyAlignment="1">
      <alignment horizontal="center"/>
    </xf>
    <xf numFmtId="165" fontId="13" fillId="19" borderId="0" xfId="0" applyNumberFormat="1" applyFont="1" applyFill="1" applyAlignment="1">
      <alignment horizontal="center"/>
    </xf>
    <xf numFmtId="0" fontId="14" fillId="15" borderId="0" xfId="0" applyFont="1" applyFill="1" applyAlignment="1">
      <alignment horizontal="center"/>
    </xf>
    <xf numFmtId="0" fontId="8" fillId="0" borderId="0" xfId="0" applyFont="1"/>
  </cellXfs>
  <cellStyles count="1">
    <cellStyle name="Normal" xfId="0" builtinId="0"/>
  </cellStyles>
  <dxfs count="24">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9" formatCode="dd/mm/yyyy"/>
      <border diagonalUp="0" diagonalDown="0">
        <left/>
        <right/>
        <top style="thin">
          <color rgb="FF000000"/>
        </top>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Aptos Narrow"/>
        <family val="2"/>
        <scheme val="none"/>
      </font>
      <fill>
        <patternFill patternType="solid">
          <fgColor rgb="FF000000"/>
          <bgColor rgb="FF000000"/>
        </patternFill>
      </fill>
      <alignment horizontal="general" vertical="bottom"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s>
  <tableStyles count="0" defaultTableStyle="TableStyleMedium2" defaultPivotStyle="PivotStyleMedium9"/>
  <colors>
    <mruColors>
      <color rgb="FFF263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[Pizarra actividades.xlsx]DB DATOS!Tabla dinámica1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Horas Hombre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 DATOS'!$B$3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DATOS'!$A$4:$A$11</c:f>
              <c:strCache>
                <c:ptCount val="7"/>
                <c:pt idx="0">
                  <c:v>ANDREA C.</c:v>
                </c:pt>
                <c:pt idx="1">
                  <c:v>NESTOR R.</c:v>
                </c:pt>
                <c:pt idx="2">
                  <c:v>FERNANDO C.</c:v>
                </c:pt>
                <c:pt idx="3">
                  <c:v>RENE R.</c:v>
                </c:pt>
                <c:pt idx="4">
                  <c:v>EMILIO S.</c:v>
                </c:pt>
                <c:pt idx="5">
                  <c:v>JULIO Q.</c:v>
                </c:pt>
                <c:pt idx="6">
                  <c:v>MELVIN O.</c:v>
                </c:pt>
              </c:strCache>
            </c:strRef>
          </c:cat>
          <c:val>
            <c:numRef>
              <c:f>'DB DATOS'!$B$4:$B$11</c:f>
              <c:numCache>
                <c:formatCode>General</c:formatCode>
                <c:ptCount val="7"/>
                <c:pt idx="0">
                  <c:v>7.5</c:v>
                </c:pt>
                <c:pt idx="1">
                  <c:v>4.5</c:v>
                </c:pt>
                <c:pt idx="2">
                  <c:v>4</c:v>
                </c:pt>
                <c:pt idx="3">
                  <c:v>4</c:v>
                </c:pt>
                <c:pt idx="4">
                  <c:v>5</c:v>
                </c:pt>
                <c:pt idx="5">
                  <c:v>5</c:v>
                </c:pt>
                <c:pt idx="6">
                  <c:v>3</c:v>
                </c:pt>
              </c:numCache>
            </c:numRef>
          </c:val>
          <c:extLst>
            <c:ext xmlns:c16="http://schemas.microsoft.com/office/drawing/2014/chart" uri="{C3380CC4-5D6E-409C-BE32-E72D297353CC}">
              <c16:uniqueId val="{00000000-DF3B-4387-8E37-994BE2D1B73C}"/>
            </c:ext>
          </c:extLst>
        </c:ser>
        <c:dLbls>
          <c:showLegendKey val="0"/>
          <c:showVal val="0"/>
          <c:showCatName val="0"/>
          <c:showSerName val="0"/>
          <c:showPercent val="0"/>
          <c:showBubbleSize val="0"/>
        </c:dLbls>
        <c:gapWidth val="219"/>
        <c:overlap val="-27"/>
        <c:axId val="573645320"/>
        <c:axId val="573650440"/>
      </c:barChart>
      <c:catAx>
        <c:axId val="57364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50440"/>
        <c:crosses val="autoZero"/>
        <c:auto val="1"/>
        <c:lblAlgn val="ctr"/>
        <c:lblOffset val="100"/>
        <c:noMultiLvlLbl val="0"/>
      </c:catAx>
      <c:valAx>
        <c:axId val="573650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45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[Pizarra actividades.xlsx]DB DATOS!Tabla dinámica2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Cumplimiento de Ordenes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384976525821597E-2"/>
              <c:y val="-8.4706673021331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057378777875584"/>
              <c:y val="5.0682347737240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4251370855340479E-2"/>
              <c:y val="-0.11057944655228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doughnutChart>
        <c:varyColors val="1"/>
        <c:ser>
          <c:idx val="0"/>
          <c:order val="0"/>
          <c:tx>
            <c:strRef>
              <c:f>'DB DATOS'!$E$2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CE9-4EF8-85B7-DBAEB76C67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CE9-4EF8-85B7-DBAEB76C67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41-45EE-8B67-328271416D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66-4DBB-BEA1-ED6D2D420B3E}"/>
              </c:ext>
            </c:extLst>
          </c:dPt>
          <c:dLbls>
            <c:dLbl>
              <c:idx val="0"/>
              <c:layout>
                <c:manualLayout>
                  <c:x val="8.6384976525821597E-2"/>
                  <c:y val="-8.470667302133168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CE9-4EF8-85B7-DBAEB76C67BC}"/>
                </c:ext>
              </c:extLst>
            </c:dLbl>
            <c:dLbl>
              <c:idx val="1"/>
              <c:delete val="1"/>
              <c:extLst>
                <c:ext xmlns:c15="http://schemas.microsoft.com/office/drawing/2012/chart" uri="{CE6537A1-D6FC-4f65-9D91-7224C49458BB}"/>
                <c:ext xmlns:c16="http://schemas.microsoft.com/office/drawing/2014/chart" uri="{C3380CC4-5D6E-409C-BE32-E72D297353CC}">
                  <c16:uniqueId val="{00000004-2CE9-4EF8-85B7-DBAEB76C67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DATOS'!$D$3:$D$5</c:f>
              <c:strCache>
                <c:ptCount val="2"/>
                <c:pt idx="0">
                  <c:v>Abierto</c:v>
                </c:pt>
                <c:pt idx="1">
                  <c:v>(en blanco)</c:v>
                </c:pt>
              </c:strCache>
            </c:strRef>
          </c:cat>
          <c:val>
            <c:numRef>
              <c:f>'DB DATOS'!$E$3:$E$5</c:f>
              <c:numCache>
                <c:formatCode>General</c:formatCode>
                <c:ptCount val="2"/>
                <c:pt idx="0">
                  <c:v>8</c:v>
                </c:pt>
              </c:numCache>
            </c:numRef>
          </c:val>
          <c:extLst>
            <c:ext xmlns:c16="http://schemas.microsoft.com/office/drawing/2014/chart" uri="{C3380CC4-5D6E-409C-BE32-E72D297353CC}">
              <c16:uniqueId val="{00000000-2CE9-4EF8-85B7-DBAEB76C67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897766409076211"/>
          <c:y val="0.37444956235345028"/>
          <c:w val="0.2845278048109155"/>
          <c:h val="0.39473960491780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[Pizarra actividades.xlsx]DB DATOS!Tabla dinámica3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Ordenes abiertas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130441768445163E-2"/>
              <c:y val="-7.1542391664766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'DB DATOS'!$D$18:$D$19</c:f>
              <c:strCache>
                <c:ptCount val="1"/>
                <c:pt idx="0">
                  <c:v>Abierto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B-4DCF-90F1-4DA1D2F9FB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B-4DCF-90F1-4DA1D2F9FB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44D1-4329-B4B6-F5D3453605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A0-4042-A95F-9121B6CEB4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78-42DE-9CA7-6AB106114A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78-42DE-9CA7-6AB106114A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DATOS'!$C$20:$C$22</c:f>
              <c:strCache>
                <c:ptCount val="2"/>
                <c:pt idx="0">
                  <c:v>Electricista</c:v>
                </c:pt>
                <c:pt idx="1">
                  <c:v>Mecanico</c:v>
                </c:pt>
              </c:strCache>
            </c:strRef>
          </c:cat>
          <c:val>
            <c:numRef>
              <c:f>'DB DATOS'!$D$20:$D$22</c:f>
              <c:numCache>
                <c:formatCode>0.00%</c:formatCode>
                <c:ptCount val="2"/>
                <c:pt idx="0">
                  <c:v>0.5</c:v>
                </c:pt>
                <c:pt idx="1">
                  <c:v>0.5</c:v>
                </c:pt>
              </c:numCache>
            </c:numRef>
          </c:val>
          <c:extLst>
            <c:ext xmlns:c16="http://schemas.microsoft.com/office/drawing/2014/chart" uri="{C3380CC4-5D6E-409C-BE32-E72D297353CC}">
              <c16:uniqueId val="{00000000-44D1-4329-B4B6-F5D345360580}"/>
            </c:ext>
          </c:extLst>
        </c:ser>
        <c:ser>
          <c:idx val="1"/>
          <c:order val="1"/>
          <c:tx>
            <c:strRef>
              <c:f>'DB DATOS'!$E$18:$E$19</c:f>
              <c:strCache>
                <c:ptCount val="1"/>
                <c:pt idx="0">
                  <c:v>(en blanco)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5FA-45DB-A9AD-5DB395D307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5FA-45DB-A9AD-5DB395D30755}"/>
              </c:ext>
            </c:extLst>
          </c:dPt>
          <c:cat>
            <c:strRef>
              <c:f>'DB DATOS'!$C$20:$C$22</c:f>
              <c:strCache>
                <c:ptCount val="2"/>
                <c:pt idx="0">
                  <c:v>Electricista</c:v>
                </c:pt>
                <c:pt idx="1">
                  <c:v>Mecanico</c:v>
                </c:pt>
              </c:strCache>
            </c:strRef>
          </c:cat>
          <c:val>
            <c:numRef>
              <c:f>'DB DATOS'!$E$20:$E$22</c:f>
              <c:numCache>
                <c:formatCode>0.00%</c:formatCode>
                <c:ptCount val="2"/>
                <c:pt idx="0">
                  <c:v>0</c:v>
                </c:pt>
                <c:pt idx="1">
                  <c:v>0</c:v>
                </c:pt>
              </c:numCache>
            </c:numRef>
          </c:val>
          <c:extLst>
            <c:ext xmlns:c16="http://schemas.microsoft.com/office/drawing/2014/chart" uri="{C3380CC4-5D6E-409C-BE32-E72D297353CC}">
              <c16:uniqueId val="{0000000D-9E6D-4CD6-AADC-CDCA67C872B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Ejecutadas vs Pendientes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 Post-Mtto'!$H$18</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4-43B5-9347-25E0D3948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4-43B5-9347-25E0D3948648}"/>
              </c:ext>
            </c:extLst>
          </c:dPt>
          <c:cat>
            <c:strRef>
              <c:f>'Dashboard Post-Mtto'!$G$19:$G$20</c:f>
              <c:strCache>
                <c:ptCount val="2"/>
                <c:pt idx="0">
                  <c:v>Ejecutadas</c:v>
                </c:pt>
                <c:pt idx="1">
                  <c:v>Pendientes</c:v>
                </c:pt>
              </c:strCache>
            </c:strRef>
          </c:cat>
          <c:val>
            <c:numRef>
              <c:f>'Dashboard Post-Mtto'!$H$19:$H$20</c:f>
              <c:numCache>
                <c:formatCode>General</c:formatCode>
                <c:ptCount val="2"/>
                <c:pt idx="0">
                  <c:v>356</c:v>
                </c:pt>
                <c:pt idx="1">
                  <c:v>322</c:v>
                </c:pt>
              </c:numCache>
            </c:numRef>
          </c:val>
          <c:extLst>
            <c:ext xmlns:c16="http://schemas.microsoft.com/office/drawing/2014/chart" uri="{C3380CC4-5D6E-409C-BE32-E72D297353CC}">
              <c16:uniqueId val="{00000000-4F6E-4509-84AD-E8B92C4AAC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123825</xdr:colOff>
      <xdr:row>32</xdr:row>
      <xdr:rowOff>38100</xdr:rowOff>
    </xdr:from>
    <xdr:to>
      <xdr:col>27</xdr:col>
      <xdr:colOff>19050</xdr:colOff>
      <xdr:row>53</xdr:row>
      <xdr:rowOff>28575</xdr:rowOff>
    </xdr:to>
    <xdr:graphicFrame macro="">
      <xdr:nvGraphicFramePr>
        <xdr:cNvPr id="2" name="Gráfico 1">
          <a:extLst>
            <a:ext uri="{FF2B5EF4-FFF2-40B4-BE49-F238E27FC236}">
              <a16:creationId xmlns:a16="http://schemas.microsoft.com/office/drawing/2014/main" id="{90C8D16A-23A4-E1D5-4D6E-C497D30AE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xdr:colOff>
      <xdr:row>19</xdr:row>
      <xdr:rowOff>180975</xdr:rowOff>
    </xdr:from>
    <xdr:to>
      <xdr:col>21</xdr:col>
      <xdr:colOff>28575</xdr:colOff>
      <xdr:row>31</xdr:row>
      <xdr:rowOff>9525</xdr:rowOff>
    </xdr:to>
    <xdr:graphicFrame macro="">
      <xdr:nvGraphicFramePr>
        <xdr:cNvPr id="3" name="Gráfico 2">
          <a:extLst>
            <a:ext uri="{FF2B5EF4-FFF2-40B4-BE49-F238E27FC236}">
              <a16:creationId xmlns:a16="http://schemas.microsoft.com/office/drawing/2014/main" id="{FFF245CC-0C55-AA0B-669D-8C44ACE5F487}"/>
            </a:ext>
            <a:ext uri="{147F2762-F138-4A5C-976F-8EAC2B608ADB}">
              <a16:predDERef xmlns:a16="http://schemas.microsoft.com/office/drawing/2014/main" pred="{90C8D16A-23A4-E1D5-4D6E-C497D30AE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38100</xdr:colOff>
      <xdr:row>19</xdr:row>
      <xdr:rowOff>180975</xdr:rowOff>
    </xdr:from>
    <xdr:to>
      <xdr:col>27</xdr:col>
      <xdr:colOff>28575</xdr:colOff>
      <xdr:row>31</xdr:row>
      <xdr:rowOff>9525</xdr:rowOff>
    </xdr:to>
    <xdr:graphicFrame macro="">
      <xdr:nvGraphicFramePr>
        <xdr:cNvPr id="4" name="Gráfico 3">
          <a:extLst>
            <a:ext uri="{FF2B5EF4-FFF2-40B4-BE49-F238E27FC236}">
              <a16:creationId xmlns:a16="http://schemas.microsoft.com/office/drawing/2014/main" id="{2EF3C3EA-7E26-2AC9-17A9-5DAB994D4DB8}"/>
            </a:ext>
            <a:ext uri="{147F2762-F138-4A5C-976F-8EAC2B608ADB}">
              <a16:predDERef xmlns:a16="http://schemas.microsoft.com/office/drawing/2014/main" pred="{FFF245CC-0C55-AA0B-669D-8C44ACE5F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142875</xdr:colOff>
      <xdr:row>0</xdr:row>
      <xdr:rowOff>76200</xdr:rowOff>
    </xdr:from>
    <xdr:to>
      <xdr:col>20</xdr:col>
      <xdr:colOff>457200</xdr:colOff>
      <xdr:row>7</xdr:row>
      <xdr:rowOff>76200</xdr:rowOff>
    </xdr:to>
    <mc:AlternateContent xmlns:mc="http://schemas.openxmlformats.org/markup-compatibility/2006" xmlns:a14="http://schemas.microsoft.com/office/drawing/2010/main">
      <mc:Choice Requires="a14">
        <xdr:graphicFrame macro="">
          <xdr:nvGraphicFramePr>
            <xdr:cNvPr id="7" name="Fecha de programación">
              <a:extLst>
                <a:ext uri="{FF2B5EF4-FFF2-40B4-BE49-F238E27FC236}">
                  <a16:creationId xmlns:a16="http://schemas.microsoft.com/office/drawing/2014/main" id="{F2C41460-7B54-D6EE-00C1-44305A3C2172}"/>
                </a:ext>
                <a:ext uri="{147F2762-F138-4A5C-976F-8EAC2B608ADB}">
                  <a16:predDERef xmlns:a16="http://schemas.microsoft.com/office/drawing/2014/main" pred="{2EF3C3EA-7E26-2AC9-17A9-5DAB994D4DB8}"/>
                </a:ext>
              </a:extLst>
            </xdr:cNvPr>
            <xdr:cNvGraphicFramePr/>
          </xdr:nvGraphicFramePr>
          <xdr:xfrm>
            <a:off x="0" y="0"/>
            <a:ext cx="0" cy="0"/>
          </xdr:xfrm>
          <a:graphic>
            <a:graphicData uri="http://schemas.microsoft.com/office/drawing/2010/slicer">
              <sle:slicer xmlns:sle="http://schemas.microsoft.com/office/drawing/2010/slicer" name="Fecha de programación"/>
            </a:graphicData>
          </a:graphic>
        </xdr:graphicFrame>
      </mc:Choice>
      <mc:Fallback xmlns="">
        <xdr:sp macro="" textlink="">
          <xdr:nvSpPr>
            <xdr:cNvPr id="0" name=""/>
            <xdr:cNvSpPr>
              <a:spLocks noTextEdit="1"/>
            </xdr:cNvSpPr>
          </xdr:nvSpPr>
          <xdr:spPr>
            <a:xfrm>
              <a:off x="7124700" y="76200"/>
              <a:ext cx="8420100" cy="1333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21</xdr:col>
      <xdr:colOff>38100</xdr:colOff>
      <xdr:row>0</xdr:row>
      <xdr:rowOff>76200</xdr:rowOff>
    </xdr:from>
    <xdr:to>
      <xdr:col>27</xdr:col>
      <xdr:colOff>0</xdr:colOff>
      <xdr:row>7</xdr:row>
      <xdr:rowOff>76200</xdr:rowOff>
    </xdr:to>
    <mc:AlternateContent xmlns:mc="http://schemas.openxmlformats.org/markup-compatibility/2006" xmlns:a14="http://schemas.microsoft.com/office/drawing/2010/main">
      <mc:Choice Requires="a14">
        <xdr:graphicFrame macro="">
          <xdr:nvGraphicFramePr>
            <xdr:cNvPr id="5" name="Personal">
              <a:extLst>
                <a:ext uri="{FF2B5EF4-FFF2-40B4-BE49-F238E27FC236}">
                  <a16:creationId xmlns:a16="http://schemas.microsoft.com/office/drawing/2014/main" id="{3ACF1739-2692-544B-F5E8-44EB347CC7F8}"/>
                </a:ext>
                <a:ext uri="{147F2762-F138-4A5C-976F-8EAC2B608ADB}">
                  <a16:predDERef xmlns:a16="http://schemas.microsoft.com/office/drawing/2014/main" pred="{F2C41460-7B54-D6EE-00C1-44305A3C2172}"/>
                </a:ext>
              </a:extLst>
            </xdr:cNvPr>
            <xdr:cNvGraphicFramePr/>
          </xdr:nvGraphicFramePr>
          <xdr:xfrm>
            <a:off x="0" y="0"/>
            <a:ext cx="0" cy="0"/>
          </xdr:xfrm>
          <a:graphic>
            <a:graphicData uri="http://schemas.microsoft.com/office/drawing/2010/slicer">
              <sle:slicer xmlns:sle="http://schemas.microsoft.com/office/drawing/2010/slicer" name="Personal"/>
            </a:graphicData>
          </a:graphic>
        </xdr:graphicFrame>
      </mc:Choice>
      <mc:Fallback xmlns="">
        <xdr:sp macro="" textlink="">
          <xdr:nvSpPr>
            <xdr:cNvPr id="0" name=""/>
            <xdr:cNvSpPr>
              <a:spLocks noTextEdit="1"/>
            </xdr:cNvSpPr>
          </xdr:nvSpPr>
          <xdr:spPr>
            <a:xfrm>
              <a:off x="13096875" y="76200"/>
              <a:ext cx="2819400" cy="1333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17</xdr:row>
      <xdr:rowOff>19050</xdr:rowOff>
    </xdr:from>
    <xdr:to>
      <xdr:col>11</xdr:col>
      <xdr:colOff>9525</xdr:colOff>
      <xdr:row>25</xdr:row>
      <xdr:rowOff>19050</xdr:rowOff>
    </xdr:to>
    <xdr:graphicFrame macro="">
      <xdr:nvGraphicFramePr>
        <xdr:cNvPr id="3" name="Gráfico 2">
          <a:extLst>
            <a:ext uri="{FF2B5EF4-FFF2-40B4-BE49-F238E27FC236}">
              <a16:creationId xmlns:a16="http://schemas.microsoft.com/office/drawing/2014/main" id="{123E8E7F-92EC-B53B-4E1F-CC7D742CD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327166435185" createdVersion="8" refreshedVersion="8" minRefreshableVersion="3" recordCount="105" xr:uid="{F4D07E4D-8E77-4A94-8504-AFA6D6D72E3E}">
  <cacheSource type="worksheet">
    <worksheetSource ref="B3:M108" sheet="Pizarra DB"/>
  </cacheSource>
  <cacheFields count="12">
    <cacheField name="Máquina" numFmtId="0">
      <sharedItems/>
    </cacheField>
    <cacheField name="Actividad" numFmtId="0">
      <sharedItems/>
    </cacheField>
    <cacheField name="Tipo " numFmtId="0">
      <sharedItems containsBlank="1" count="5">
        <m/>
        <s v="Correctivo"/>
        <s v="N/A"/>
        <s v="Preventivo"/>
        <s v="Mejora"/>
      </sharedItems>
    </cacheField>
    <cacheField name="Personal" numFmtId="0">
      <sharedItems/>
    </cacheField>
    <cacheField name="EJECUTOR" numFmtId="0">
      <sharedItems containsBlank="1"/>
    </cacheField>
    <cacheField name="Cant. de personas" numFmtId="0">
      <sharedItems containsNonDate="0" containsString="0" containsBlank="1"/>
    </cacheField>
    <cacheField name="Tiempo estimado (h)" numFmtId="0">
      <sharedItems containsBlank="1" containsMixedTypes="1" containsNumber="1" minValue="0.25" maxValue="12"/>
    </cacheField>
    <cacheField name="Insumos" numFmtId="0">
      <sharedItems containsBlank="1"/>
    </cacheField>
    <cacheField name="Fecha de programación" numFmtId="0">
      <sharedItems containsNonDate="0" containsDate="1" containsString="0" containsBlank="1" minDate="2026-04-17T00:00:00" maxDate="2026-06-02T00:00:00"/>
    </cacheField>
    <cacheField name="Duración real" numFmtId="0">
      <sharedItems containsNonDate="0" containsString="0" containsBlank="1"/>
    </cacheField>
    <cacheField name="Comentarios" numFmtId="0">
      <sharedItems containsBlank="1" longText="1"/>
    </cacheField>
    <cacheField name="Estatu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32716666667" createdVersion="8" refreshedVersion="8" minRefreshableVersion="3" recordCount="665" xr:uid="{DB72B9D8-19D3-4609-BD02-3EA045541A28}">
  <cacheSource type="worksheet">
    <worksheetSource name="Tabla1"/>
  </cacheSource>
  <cacheFields count="12">
    <cacheField name="Máquina" numFmtId="0">
      <sharedItems containsBlank="1" count="71">
        <s v="Lavadora de botellas"/>
        <s v="Desecajonadora"/>
        <s v="Transporte"/>
        <s v="Llenadora"/>
        <s v="Lavadora de cajas"/>
        <s v="Despalet 300"/>
        <s v="Encajonadora"/>
        <s v="Palet"/>
        <s v="Despalet 150"/>
        <s v="Inspector"/>
        <s v="Pasteurizador"/>
        <s v="Etiquetadora"/>
        <s v="Inspector de etiqueta"/>
        <s v="General"/>
        <s v="Despalet de cajas"/>
        <s v="Inspector de nivel de botella llena"/>
        <s v="Despalet de botellas"/>
        <m/>
        <s v="EBI"/>
        <s v="Paletizadora"/>
        <s v="Desencajonadora"/>
        <s v="Despalet de caja"/>
        <s v="Inspector de envase"/>
        <s v="Encajonador"/>
        <s v="Desencajonador"/>
        <s v="Despaletizadora 150"/>
        <s v="Despaletizadora 300"/>
        <s v="Desempacadora"/>
        <s v="Inpector de envase "/>
        <s v="Transporte LAVBOT a EBI"/>
        <s v="Transporte LLN a PAST"/>
        <s v="TRP LAVBOT A EBI"/>
        <s v="TRP DPL CAJ A DESENCA"/>
        <s v="TRP ENCA A PLT"/>
        <s v="TRP ENCA A PALET"/>
        <s v="TRP ETQ A ENCA"/>
        <s v="TRP DESENCA A LAVCAJ"/>
        <s v="TRP EBI A LAVBOT"/>
        <s v="DPL CAJA"/>
        <s v="VOLTEADOR DE CAJAS"/>
        <s v="MEZANINE"/>
        <s v="Transporte ENCA a PLT"/>
        <s v="Envasado"/>
        <s v="Despaletizadora botellas"/>
        <s v="Transporte caja"/>
        <s v="Transporte botella"/>
        <s v="TRP LLEN A PAST"/>
        <s v="TRP LAVCAJ A ENCA"/>
        <s v="DPL CAJ"/>
        <s v="Transporte de botella"/>
        <s v="TRP PAST A ETQ"/>
        <s v="TRP CAJA SUCIA"/>
        <s v="Despaletizadora Caja"/>
        <s v="TRP BYPASS"/>
        <s v="Despaletizadora botella"/>
        <s v="TRP CAJA"/>
        <s v="TRP PAST A SEC"/>
        <s v="TRANSPORTE CAJAS"/>
        <s v="TRANSPORTE "/>
        <s v="TRP LAV EBI"/>
        <s v="Bascula envasado"/>
        <s v="TRP DPL CAJA A DESENCA "/>
        <s v="TRP DESENCA A LAVBOT"/>
        <s v="TRP EBI A LLEN"/>
        <s v="TRP PAST A SECADOR"/>
        <s v="TRP SECADOR A ETQ"/>
        <s v="TRP RECHAZO"/>
        <s v="TRP DPL CAJA A DESENCA"/>
        <s v="Lauter"/>
        <s v="Tolva de azúcar"/>
        <s v="Ciclón de Silo"/>
      </sharedItems>
    </cacheField>
    <cacheField name="Actividad" numFmtId="0">
      <sharedItems containsBlank="1"/>
    </cacheField>
    <cacheField name="Tipo " numFmtId="0">
      <sharedItems containsBlank="1"/>
    </cacheField>
    <cacheField name="Personal" numFmtId="0">
      <sharedItems containsBlank="1" count="15">
        <s v="Mecánico"/>
        <s v="Operador"/>
        <s v="Electricista"/>
        <m/>
        <s v="Eléctrico"/>
        <s v="SERVICIO EXT"/>
        <s v="Electrico"/>
        <s v="Mecanico"/>
        <s v="TALLER EXT"/>
        <s v="Operación"/>
        <s v="Automatización"/>
        <s v="Mecánico " u="1"/>
        <s v="Mécanico" u="1"/>
        <s v="Tec Operador" u="1"/>
        <s v="Operador/Mecanico" u="1"/>
      </sharedItems>
    </cacheField>
    <cacheField name="EJECUTOR" numFmtId="0">
      <sharedItems containsBlank="1" containsMixedTypes="1" containsNumber="1" containsInteger="1" minValue="1" maxValue="6" count="61">
        <m/>
        <s v="Daniel Marroquin"/>
        <s v="Moises Navas"/>
        <s v="Melvin Olivorio"/>
        <s v="RYSI"/>
        <s v="Daniel Monterrosa, operador"/>
        <s v="Santos Pineda"/>
        <s v="Armando García"/>
        <s v="Robin Guardado"/>
        <s v="Luis Ortiz"/>
        <s v="Yuvini"/>
        <s v="Carlos Yuvini"/>
        <s v="Fernando Chavez"/>
        <s v="Luis Cornejo"/>
        <s v="Leonel "/>
        <s v="Aux 1 y Aux 2"/>
        <s v="Jeremías Miranda"/>
        <s v="Fernando Contreras"/>
        <s v="René"/>
        <s v="Daniel Monterrosa"/>
        <s v="Byron Ramos"/>
        <s v="Emilio Siguenza"/>
        <s v="Andrea Castro"/>
        <s v="William Canizalez"/>
        <s v="Leonel Vasquez"/>
        <s v="Javier Cortez"/>
        <s v="René Rodriguez"/>
        <s v="Erick Luna"/>
        <s v="Andrea Cruz"/>
        <s v="Nestor Rivera"/>
        <s v="Elias Shico"/>
        <s v="Erick Lopez"/>
        <s v="Moises / Robin"/>
        <s v="Edwin Carcamo"/>
        <s v="Armando Garcia"/>
        <s v="Emilio / Jeremías"/>
        <s v="Cárcamo"/>
        <n v="2"/>
        <n v="6"/>
        <n v="1"/>
        <s v="RENE RODRIGUEZ"/>
        <s v="JEREMIAS MIRANDA / JULIO QUISQUI"/>
        <s v="CARLOS YUVINI / DANIEL MARROQUIN"/>
        <s v="JEREMIAS MIRANDA"/>
        <s v="JULIO QUISQUI"/>
        <s v="JEREMIAS MIRANDA "/>
        <s v="JULIO QUISQUI / EMILIO SIGUENZA"/>
        <s v="MELVIN O./EMILIO S."/>
        <s v="MELVIN OLIVORIO / DANIEL MARROQUIN"/>
        <s v="TRICOMBUS"/>
        <s v="ANDREA C."/>
        <s v="FERNANDO CHÁVEZ"/>
        <s v="EMILIO S. / NESTOR R."/>
        <s v="FERNANDO C. / RENE R."/>
        <s v="NESTOR R."/>
        <s v="FERNANDO C."/>
        <s v="RENE R."/>
        <s v="EMILIO S."/>
        <s v="JEREMIAS M."/>
        <s v="JULIO Q."/>
        <s v="MELVIN O."/>
      </sharedItems>
    </cacheField>
    <cacheField name="Cant. de personas" numFmtId="0">
      <sharedItems containsString="0" containsBlank="1" containsNumber="1" containsInteger="1" minValue="1" maxValue="4"/>
    </cacheField>
    <cacheField name="Tiempo estimado (h)" numFmtId="0">
      <sharedItems containsBlank="1" containsMixedTypes="1" containsNumber="1" minValue="0.15" maxValue="48"/>
    </cacheField>
    <cacheField name="Insumos" numFmtId="0">
      <sharedItems containsBlank="1"/>
    </cacheField>
    <cacheField name="Fecha de programación" numFmtId="0">
      <sharedItems containsNonDate="0" containsDate="1" containsString="0" containsBlank="1" minDate="2026-04-17T00:00:00" maxDate="2026-10-13T00:00:00" count="43">
        <d v="2026-04-18T00:00:00"/>
        <d v="2026-04-20T00:00:00"/>
        <d v="2026-05-11T00:00:00"/>
        <d v="2026-05-18T00:00:00"/>
        <d v="2026-04-17T00:00:00"/>
        <d v="2026-05-04T00:00:00"/>
        <d v="2026-05-07T00:00:00"/>
        <d v="2026-04-26T00:00:00"/>
        <d v="2026-05-08T00:00:00"/>
        <d v="2026-05-25T00:00:00"/>
        <m/>
        <d v="2026-05-14T00:00:00"/>
        <d v="2026-06-01T00:00:00"/>
        <d v="2026-06-04T00:00:00"/>
        <d v="2026-06-05T00:00:00"/>
        <d v="2026-06-08T00:00:00"/>
        <d v="2026-06-13T00:00:00"/>
        <d v="2026-06-22T00:00:00"/>
        <d v="2026-06-24T00:00:00"/>
        <d v="2026-07-06T00:00:00"/>
        <d v="2026-06-26T00:00:00"/>
        <d v="2026-07-13T00:00:00"/>
        <d v="2026-07-20T00:00:00"/>
        <d v="2026-07-27T00:00:00"/>
        <d v="2026-08-05T00:00:00"/>
        <d v="2026-08-17T00:00:00"/>
        <d v="2026-08-11T00:00:00"/>
        <d v="2026-08-10T00:00:00"/>
        <d v="2026-08-14T00:00:00"/>
        <d v="2026-08-24T00:00:00"/>
        <d v="2026-09-01T00:00:00"/>
        <d v="2026-09-04T00:00:00"/>
        <d v="2026-08-31T00:00:00"/>
        <d v="2026-09-07T00:00:00"/>
        <d v="2026-09-21T00:00:00"/>
        <d v="2026-10-05T00:00:00"/>
        <d v="2026-09-18T00:00:00"/>
        <d v="2026-10-01T00:00:00"/>
        <d v="2026-10-12T00:00:00"/>
        <d v="2026-09-24T00:00:00"/>
        <d v="2026-09-25T00:00:00"/>
        <d v="2026-09-30T00:00:00"/>
        <d v="2026-10-08T00:00:00"/>
      </sharedItems>
    </cacheField>
    <cacheField name="Duración real" numFmtId="0">
      <sharedItems containsDate="1" containsBlank="1" containsMixedTypes="1" minDate="1899-12-31T03:45:03" maxDate="1899-12-31T00:21:04"/>
    </cacheField>
    <cacheField name="Comentarios" numFmtId="0">
      <sharedItems containsBlank="1" longText="1"/>
    </cacheField>
    <cacheField name="Estatus" numFmtId="0">
      <sharedItems containsBlank="1" count="5">
        <s v="Cerrado"/>
        <s v="Abierto"/>
        <m/>
        <s v="En proceso"/>
        <s v="REPROGRAMAR"/>
      </sharedItems>
    </cacheField>
  </cacheFields>
  <extLst>
    <ext xmlns:x14="http://schemas.microsoft.com/office/spreadsheetml/2009/9/main" uri="{725AE2AE-9491-48be-B2B4-4EB974FC3084}">
      <x14:pivotCacheDefinition pivotCacheId="168455427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Lavadora de botellas"/>
    <s v="Cambio de sello mecánico de bomba tk 3"/>
    <x v="0"/>
    <s v="Mecánico"/>
    <m/>
    <m/>
    <m/>
    <s v="Sello mecánico 22 mm, silicón de alta temperatura"/>
    <d v="2026-04-18T00:00:00"/>
    <m/>
    <m/>
    <s v="Cerrado"/>
  </r>
  <r>
    <s v="Lavadora de botellas"/>
    <s v="Cambio de sello mecánico de bomba tk 1"/>
    <x v="0"/>
    <s v="Mecánico"/>
    <m/>
    <m/>
    <m/>
    <m/>
    <d v="2026-04-20T00:00:00"/>
    <m/>
    <m/>
    <s v="Cerrado"/>
  </r>
  <r>
    <s v="Desecajonadora"/>
    <s v="Cambio de pistón de freno de cajas en entrada"/>
    <x v="0"/>
    <s v="Mecánico"/>
    <m/>
    <m/>
    <m/>
    <s v="Pistón DSBC-50-50"/>
    <d v="2026-04-20T00:00:00"/>
    <m/>
    <m/>
    <s v="Cerrado"/>
  </r>
  <r>
    <s v="Lavadora de botellas"/>
    <s v="Enderezado de canastos"/>
    <x v="1"/>
    <s v="Operador"/>
    <s v="Daniel Marroquin"/>
    <m/>
    <n v="5"/>
    <m/>
    <d v="2026-05-11T00:00:00"/>
    <m/>
    <m/>
    <s v="Abierto"/>
  </r>
  <r>
    <s v="Lavadora de botellas"/>
    <s v="Reemplazo de eslabones de cadena principal"/>
    <x v="0"/>
    <s v="Operador"/>
    <m/>
    <m/>
    <m/>
    <m/>
    <d v="2026-05-18T00:00:00"/>
    <m/>
    <m/>
    <s v="Abierto"/>
  </r>
  <r>
    <s v="Lavadora de botellas"/>
    <s v="Cambio de retendores en caja reductora #1"/>
    <x v="0"/>
    <s v="Mecánico"/>
    <m/>
    <m/>
    <m/>
    <s v="Retenedor 135x170x12"/>
    <d v="2026-04-17T00:00:00"/>
    <m/>
    <m/>
    <s v="Cerrado"/>
  </r>
  <r>
    <s v="Desecajonadora"/>
    <s v="Inspección de guías de deslizamiento horizontal"/>
    <x v="0"/>
    <s v="Mecánico"/>
    <m/>
    <m/>
    <m/>
    <m/>
    <d v="2026-04-20T00:00:00"/>
    <m/>
    <m/>
    <s v="Cerrado"/>
  </r>
  <r>
    <s v="Transporte"/>
    <s v="Cambio de retenedores en motor B22"/>
    <x v="0"/>
    <s v="Mecánico"/>
    <m/>
    <m/>
    <m/>
    <s v="Retenedores 50x80x10"/>
    <d v="2026-04-17T00:00:00"/>
    <m/>
    <m/>
    <s v="Cerrado"/>
  </r>
  <r>
    <s v="Transporte"/>
    <s v="Cambio de retenedores en motor de rechazo"/>
    <x v="0"/>
    <s v="Mecánico"/>
    <m/>
    <m/>
    <m/>
    <s v="Retenedores 45x75x8"/>
    <d v="2026-04-17T00:00:00"/>
    <m/>
    <m/>
    <s v="Cerrado"/>
  </r>
  <r>
    <s v="Transporte"/>
    <s v="Anclar pasarela de paletizadora al piso"/>
    <x v="2"/>
    <s v="Operador"/>
    <m/>
    <m/>
    <n v="1"/>
    <s v="Pernos de expasión 5/16&quot;, broca para concreto 5/16&quot;"/>
    <d v="2026-05-04T00:00:00"/>
    <m/>
    <m/>
    <s v="Cerrado"/>
  </r>
  <r>
    <s v="Llenadora"/>
    <s v="Limpieza de tolva y carrilera de corona"/>
    <x v="3"/>
    <s v="Operador"/>
    <s v="Moises Navas"/>
    <m/>
    <n v="0.5"/>
    <s v="Wipe, alcool/desinfectante inoloro"/>
    <d v="2026-05-11T00:00:00"/>
    <m/>
    <m/>
    <s v="Abierto"/>
  </r>
  <r>
    <s v="Lavadora de botellas"/>
    <s v="Instalación de visores de nivel de tanques"/>
    <x v="1"/>
    <s v="Mecánico"/>
    <s v="Melvin Olivorio"/>
    <m/>
    <n v="2.5"/>
    <s v="12 niples1/2_x000a_3 m manguera 1/2_x000a_6 válvulas de bola 1/2_x000a_3 codos 1/2_x000a_3 Tes 1/2_x000a_6 Colas de garrobo_x000a_6 abrazaderas metálicas"/>
    <d v="2026-05-11T00:00:00"/>
    <m/>
    <s v="Se armó sistema de valvula para el nivel de agua de los tanques 1, 2 y 3 se observó varios niples y camisas que estaban soldados a los tanque con oxido se limpio con penetrante"/>
    <s v="Cerrado"/>
  </r>
  <r>
    <s v="Lavadora de cajas"/>
    <s v="Reparación de fuga de en bomba tk 2"/>
    <x v="1"/>
    <s v="Mecánico"/>
    <m/>
    <m/>
    <s v="0.5"/>
    <m/>
    <d v="2026-05-07T00:00:00"/>
    <m/>
    <m/>
    <s v="Cerrado"/>
  </r>
  <r>
    <s v="Transporte"/>
    <s v="Enviar motorreductor B22 a calzar alojamiento con proveedor externo"/>
    <x v="1"/>
    <s v="Mecánico"/>
    <s v="RYSI"/>
    <m/>
    <n v="12"/>
    <m/>
    <d v="2026-05-11T00:00:00"/>
    <m/>
    <m/>
    <s v="Cerrado"/>
  </r>
  <r>
    <s v="Despalet 300"/>
    <s v="Aprete de prisioneros de las catarinas de ejes de elevación"/>
    <x v="3"/>
    <s v="Mecánico"/>
    <s v="Daniel Monterrosa, operador"/>
    <m/>
    <n v="1"/>
    <m/>
    <d v="2026-05-11T00:00:00"/>
    <m/>
    <s v="Se socaron prisioneros de catarina de elevación, se lubricó cadena de elevación y se apretaron tuercas de cadena de elevación se subió brazo de despaletizador de caja porque topaba en cabezal"/>
    <s v="Cerrado"/>
  </r>
  <r>
    <s v="Desecajonadora"/>
    <s v="Aprete de prisioneros de las catarinas de ejes de elevación"/>
    <x v="3"/>
    <s v="Mecánico"/>
    <s v="Daniel Monterrosa, operador"/>
    <m/>
    <n v="1"/>
    <m/>
    <d v="2026-05-11T00:00:00"/>
    <m/>
    <s v="Se alineo cabeza de catarina desalineada, se alineó, se lubricó cadena de elevacion, se alineó brazo de traslación porque rozaba en cabezal de desempacadora"/>
    <s v="Cerrado"/>
  </r>
  <r>
    <s v="Encajonadora"/>
    <s v="Aprete de prisioneros de las catarinas de ejes de elevación"/>
    <x v="3"/>
    <s v="Mecánico"/>
    <s v="Daniel Monterrosa, operador"/>
    <m/>
    <n v="1"/>
    <m/>
    <d v="2026-05-11T00:00:00"/>
    <m/>
    <s v="Se alineo catarina y se apretaron prisioneros flojos y se lubricó cadena de elevación y guías de seguidores de levas"/>
    <s v="Cerrado"/>
  </r>
  <r>
    <s v="Despalet 300"/>
    <s v="Modificación de posición de brazo para sensor de posición vertical de cabezal de paletizadora"/>
    <x v="1"/>
    <s v="Mecánico"/>
    <m/>
    <m/>
    <n v="3"/>
    <m/>
    <d v="2026-05-04T00:00:00"/>
    <m/>
    <m/>
    <s v="Cerrado"/>
  </r>
  <r>
    <s v="Despalet 300"/>
    <s v="Limpieza, lubricacion y re aprete de cadenas de rodillos en transportes de tarimas"/>
    <x v="3"/>
    <s v="Operador"/>
    <s v="Santos Pineda"/>
    <m/>
    <n v="1.5"/>
    <s v="Wippe, lubricante en spray"/>
    <d v="2026-05-11T00:00:00"/>
    <m/>
    <m/>
    <s v="Abierto"/>
  </r>
  <r>
    <s v="Palet"/>
    <s v="Limpieza, lubricacion y re aprete de cadenas de rodillos en transportes de tarimas"/>
    <x v="3"/>
    <s v="Operador"/>
    <s v="Armando García"/>
    <m/>
    <n v="1.5"/>
    <s v="Wippe, lubricante en spray"/>
    <d v="2026-05-11T00:00:00"/>
    <m/>
    <m/>
    <s v="Abierto"/>
  </r>
  <r>
    <s v="Despalet 300"/>
    <s v="Lubricación y reaprete de guías y rodillos seguidores de levas de cabezal"/>
    <x v="3"/>
    <s v="Operador"/>
    <s v="Santos Pineda"/>
    <m/>
    <n v="1"/>
    <s v="Wippe, lubricante en spray"/>
    <d v="2026-05-11T00:00:00"/>
    <m/>
    <m/>
    <s v="Abierto"/>
  </r>
  <r>
    <s v="Palet"/>
    <s v="Lubricación y reaprete de guías y rodillos seguidores de levas de cabezal"/>
    <x v="3"/>
    <s v="Operador"/>
    <s v="Armando García"/>
    <m/>
    <n v="1"/>
    <s v="Wippe, lubricante en spray"/>
    <d v="2026-05-11T00:00:00"/>
    <m/>
    <m/>
    <s v="Abierto"/>
  </r>
  <r>
    <s v="Desecajonadora"/>
    <s v="Lubricación y reaprete de guías y rodillos seguidores de levas de cabezal"/>
    <x v="3"/>
    <s v="Operador"/>
    <s v="Robin Guardado"/>
    <m/>
    <n v="1"/>
    <s v="Wippe, lubricante en spray"/>
    <d v="2026-05-11T00:00:00"/>
    <m/>
    <s v="Se completó y se termino de ajustar a 750 y se probo con envase"/>
    <s v="Cerrado"/>
  </r>
  <r>
    <s v="Encajonadora"/>
    <s v="Lubricación y reaprete de guías y rodillos seguidores de levas de cabezal"/>
    <x v="3"/>
    <s v="Operador"/>
    <s v="Luis Ortiz"/>
    <m/>
    <n v="1"/>
    <s v="Wippe, lubricante en spray"/>
    <d v="2026-05-11T00:00:00"/>
    <m/>
    <s v="Se realizo ajuste y lubricacion ademas se realizo colocacion de arandelas a pernos de cabezales que se encontraban flojos en desencajonadora"/>
    <s v="Abierto"/>
  </r>
  <r>
    <s v="Lavadora de botellas"/>
    <s v="Limpieza de exceso de grasa en cumaceras"/>
    <x v="3"/>
    <s v="Operador"/>
    <s v="Yuvini"/>
    <m/>
    <n v="0.5"/>
    <s v="Desengrasate, wippe"/>
    <d v="2026-05-11T00:00:00"/>
    <m/>
    <m/>
    <s v="Abierto"/>
  </r>
  <r>
    <s v="Lavadora de botellas"/>
    <s v="Limpieza interna de barras de soda tanque #3"/>
    <x v="3"/>
    <s v="Operador"/>
    <s v="Carlos Yuvini"/>
    <m/>
    <n v="4"/>
    <s v="Agua a presión, elemento punzante"/>
    <d v="2026-05-11T00:00:00"/>
    <m/>
    <m/>
    <s v="Abierto"/>
  </r>
  <r>
    <s v="Lavadora de botellas"/>
    <s v="Limpieza interna de tanque #3"/>
    <x v="3"/>
    <s v="Operador"/>
    <s v="Carlos Yuvini"/>
    <m/>
    <n v="3"/>
    <s v="idrolavadora, químico de limpieza"/>
    <d v="2026-05-11T00:00:00"/>
    <m/>
    <m/>
    <s v="Abierto"/>
  </r>
  <r>
    <s v="Lavadora de botellas"/>
    <s v="Limpieza interna de tanque #2"/>
    <x v="0"/>
    <s v="Operador"/>
    <m/>
    <m/>
    <m/>
    <m/>
    <d v="2026-04-26T00:00:00"/>
    <m/>
    <m/>
    <s v="Cerrado"/>
  </r>
  <r>
    <s v="Despalet 300"/>
    <s v="Inspección de unidades de mantenimiento de aire, verificación de nivel de aceite"/>
    <x v="3"/>
    <s v="Operador"/>
    <m/>
    <m/>
    <n v="0.5"/>
    <s v="Aceite ISO para vaso lubricador"/>
    <d v="2026-05-11T00:00:00"/>
    <m/>
    <m/>
    <s v="Abierto"/>
  </r>
  <r>
    <s v="Despalet 150"/>
    <s v="Inspección de unidades de mantenimiento de aire, verificación de nivel de aceite"/>
    <x v="3"/>
    <s v="Operador"/>
    <m/>
    <m/>
    <n v="0.5"/>
    <s v="Aceite ISO para vaso lubricador"/>
    <d v="2026-05-11T00:00:00"/>
    <m/>
    <m/>
    <s v="Abierto"/>
  </r>
  <r>
    <s v="Desecajonadora"/>
    <s v="Inspección de cabezal de tulipas, verificar estado de vastagos, tornillos huecos y gomas"/>
    <x v="3"/>
    <s v="Operador"/>
    <s v="Robin Guardado"/>
    <m/>
    <n v="2"/>
    <s v="Vastagos, campanas, tornillos huecos, gomas"/>
    <d v="2026-05-11T00:00:00"/>
    <m/>
    <m/>
    <s v="Cerrado"/>
  </r>
  <r>
    <s v="Desecajonadora"/>
    <s v="Inspección de unidades de mantenimiento de aire, verificación de nivel de aceite"/>
    <x v="3"/>
    <s v="Operador"/>
    <s v="Luis Ortiz"/>
    <m/>
    <n v="0.25"/>
    <s v="Aceite ISO para vaso lubricador"/>
    <d v="2026-05-11T00:00:00"/>
    <m/>
    <s v="Se reviso todo esta en orden con el aceite y sin fugas2"/>
    <s v="Cerrado"/>
  </r>
  <r>
    <s v="Inspector"/>
    <s v="Inspección de unidades de mantenimiento de aire, verificación de nivel de aceite"/>
    <x v="3"/>
    <s v="Operador"/>
    <s v="Fernando Chavez"/>
    <m/>
    <n v="0.25"/>
    <s v="Aceite ISO para vaso lubricador"/>
    <d v="2026-05-11T00:00:00"/>
    <m/>
    <s v="Se realizo limpieza en estacion de paso, se quitaron residuos de grasa, se limpiaron bandas azules , se lavaron con desengrasante y cepillos, se revisó el estado y se encontraron en muy buen estado, se añadio platina en tramo de transporte que hacia falta en la parte del rechazo, se realizo limpieza de espejos"/>
    <s v="Cerrado"/>
  </r>
  <r>
    <s v="Llenadora"/>
    <s v="Inspección de pistones 26, 46, 29"/>
    <x v="1"/>
    <s v="Operador"/>
    <s v="Luis Cornejo"/>
    <m/>
    <n v="2"/>
    <m/>
    <d v="2026-05-11T00:00:00"/>
    <m/>
    <m/>
    <s v="Cerrado"/>
  </r>
  <r>
    <s v="Llenadora"/>
    <s v="Inspección de unidades de mantenimiento de aire, verificación de nivel de aceite"/>
    <x v="3"/>
    <s v="Operador"/>
    <s v="Luis Cornejo"/>
    <m/>
    <n v="0.5"/>
    <s v="Aceite ISO para vaso lubricador"/>
    <d v="2026-05-11T00:00:00"/>
    <m/>
    <s v="Se realizo inspeccion, no se encontro alguna anomalia"/>
    <s v="Cerrado"/>
  </r>
  <r>
    <s v="Pasteurizador"/>
    <s v="Inspección de unidades de mantenimiento de aire, verificación de nivel de aceite"/>
    <x v="3"/>
    <s v="Operador"/>
    <s v="Leonel "/>
    <m/>
    <n v="0.5"/>
    <s v="Aceite ISO para vaso lubricador"/>
    <d v="2026-05-11T00:00:00"/>
    <m/>
    <m/>
    <s v="Cerrado"/>
  </r>
  <r>
    <s v="Encajonadora"/>
    <s v="Inspección de unidades de mantenimiento de aire, verificación de nivel de aceite"/>
    <x v="3"/>
    <s v="Operador"/>
    <m/>
    <m/>
    <n v="0.5"/>
    <s v="Aceite ISO para vaso lubricador"/>
    <d v="2026-05-11T00:00:00"/>
    <m/>
    <s v="Se realizo llenado de vasos de unidad de mantenimiento"/>
    <s v="Cerrado"/>
  </r>
  <r>
    <s v="Palet"/>
    <s v="Inspección de unidades de mantenimiento de aire, verificación de nivel de aceite"/>
    <x v="3"/>
    <s v="Operador"/>
    <m/>
    <m/>
    <n v="0.5"/>
    <s v="Aceite ISO para vaso lubricador"/>
    <d v="2026-05-11T00:00:00"/>
    <m/>
    <m/>
    <s v="Abierto"/>
  </r>
  <r>
    <s v="Despalet 300"/>
    <s v="Limpieza general de máquina"/>
    <x v="3"/>
    <s v="Operador"/>
    <m/>
    <m/>
    <n v="1"/>
    <m/>
    <d v="2026-05-11T00:00:00"/>
    <m/>
    <m/>
    <s v="Abierto"/>
  </r>
  <r>
    <s v="Lavadora de botellas"/>
    <s v="Limpieza general de máquina"/>
    <x v="3"/>
    <s v="Operador"/>
    <m/>
    <m/>
    <n v="1"/>
    <m/>
    <d v="2026-05-11T00:00:00"/>
    <m/>
    <m/>
    <s v="Abierto"/>
  </r>
  <r>
    <s v="Lavadora de cajas"/>
    <s v="Limpieza general de máquina"/>
    <x v="3"/>
    <s v="Operador"/>
    <m/>
    <m/>
    <n v="1"/>
    <m/>
    <d v="2026-05-11T00:00:00"/>
    <m/>
    <m/>
    <s v="Abierto"/>
  </r>
  <r>
    <s v="Inspector"/>
    <s v="Limpieza general de máquina"/>
    <x v="3"/>
    <s v="Operador"/>
    <m/>
    <m/>
    <n v="2"/>
    <s v="Wipe de tela, alcool/solvente "/>
    <d v="2026-05-11T00:00:00"/>
    <m/>
    <s v="Se reviso estado de unidad de mantenimiento junto a Bryan Iglesias y se limpio filtro"/>
    <s v="Cerrado"/>
  </r>
  <r>
    <s v="Llenadora"/>
    <s v="Inspeccion cilindros elevadores 26, 29 y 47"/>
    <x v="1"/>
    <s v="Operador"/>
    <m/>
    <m/>
    <n v="2"/>
    <s v="Wipe, llaves mixtas"/>
    <d v="2026-05-11T00:00:00"/>
    <m/>
    <s v="Inspeccion a piston 47 y 54, retenedores superiores dañados, se les hizo limpieza, pendiente cambiarlos"/>
    <s v="Cerrado"/>
  </r>
  <r>
    <s v="Llenadora"/>
    <s v="Limpieza profunda de máquina"/>
    <x v="3"/>
    <s v="Operador"/>
    <m/>
    <m/>
    <n v="2"/>
    <s v="Wipe de tela, alcool/solvente "/>
    <d v="2026-05-11T00:00:00"/>
    <m/>
    <s v="Orden realizada"/>
    <s v="Cerrado"/>
  </r>
  <r>
    <s v="Pasteurizador"/>
    <s v="Limpieza general de máquina"/>
    <x v="3"/>
    <s v="Operador"/>
    <m/>
    <m/>
    <n v="12"/>
    <s v="Wipe de tela, alcool/solvente "/>
    <d v="2026-05-11T00:00:00"/>
    <m/>
    <m/>
    <s v="Cerrado"/>
  </r>
  <r>
    <s v="Etiquetadora"/>
    <s v="Inspeccion de unidades de mantenimiento de aire, verificacion de nivel de aceite"/>
    <x v="3"/>
    <s v="Operador"/>
    <m/>
    <m/>
    <n v="0.25"/>
    <m/>
    <d v="2026-05-11T00:00:00"/>
    <m/>
    <m/>
    <s v="Abierto"/>
  </r>
  <r>
    <s v="Etiquetadora"/>
    <s v="Limpieza profunda de máquina"/>
    <x v="3"/>
    <s v="Operador"/>
    <m/>
    <m/>
    <n v="2"/>
    <s v="Wipe de tela, alcool/solvente "/>
    <d v="2026-05-11T00:00:00"/>
    <m/>
    <m/>
    <s v="Abierto"/>
  </r>
  <r>
    <s v="Inspector de etiqueta"/>
    <s v="Limpieza general de máquina"/>
    <x v="3"/>
    <s v="Operador"/>
    <m/>
    <m/>
    <n v="2"/>
    <s v="Wipe de tela, alcool/solvente "/>
    <d v="2026-05-11T00:00:00"/>
    <m/>
    <m/>
    <s v="Abierto"/>
  </r>
  <r>
    <s v="Desecajonadora"/>
    <s v="Limpieza general de máquina"/>
    <x v="3"/>
    <s v="Operador"/>
    <m/>
    <m/>
    <n v="2"/>
    <s v="Wipe de tela, alcool/solvente "/>
    <d v="2026-05-11T00:00:00"/>
    <m/>
    <s v="Se completo limpieza de grasa dañada por nueva"/>
    <s v="Cerrado"/>
  </r>
  <r>
    <s v="Encajonadora"/>
    <s v="Limpieza general de máquina"/>
    <x v="3"/>
    <s v="Operador"/>
    <m/>
    <m/>
    <n v="2"/>
    <s v="Wipe de tela, alcool/solvente "/>
    <d v="2026-05-11T00:00:00"/>
    <m/>
    <s v="Se completó limpieza general, se completaron los 4 cabezales que se encontraban desarmados se reemplazaron los 40 pernos de sujecion y se cambiaron tulipas ya que las originales no tenian o rings"/>
    <s v="Cerrado"/>
  </r>
  <r>
    <s v="Palet"/>
    <s v="Limpieza general de máquina"/>
    <x v="3"/>
    <s v="Operador"/>
    <m/>
    <m/>
    <n v="2"/>
    <s v="Wipe de tela, alcool/solvente "/>
    <d v="2026-05-11T00:00:00"/>
    <m/>
    <m/>
    <s v="Abierto"/>
  </r>
  <r>
    <s v="Transporte"/>
    <s v="Cambiar grapas de banda engomada de volteador de cajas"/>
    <x v="1"/>
    <s v="Mecánico"/>
    <s v="Melvin Olivorio"/>
    <m/>
    <n v="1"/>
    <s v="Grapas Alligator, martillo"/>
    <d v="2026-05-11T00:00:00"/>
    <m/>
    <m/>
    <s v="Cerrado"/>
  </r>
  <r>
    <s v="Transporte"/>
    <s v="*Limpieza de cadenas tramo C"/>
    <x v="3"/>
    <s v="Operador"/>
    <s v="Aux 1 y Aux 2"/>
    <m/>
    <n v="4"/>
    <s v="Agua, idrolavadora, botador cilindrico, jabón"/>
    <d v="2026-05-08T00:00:00"/>
    <m/>
    <m/>
    <s v="Abierto"/>
  </r>
  <r>
    <s v="Transporte"/>
    <s v="Limpieza de cadenas tramo H"/>
    <x v="3"/>
    <s v="Operador"/>
    <m/>
    <m/>
    <n v="4"/>
    <s v="Agua, idrolavadora, botador cilindrico, jabón"/>
    <d v="2026-05-04T00:00:00"/>
    <m/>
    <m/>
    <s v="Abierto"/>
  </r>
  <r>
    <s v="Transporte"/>
    <s v="*Limpieza de cadenas tramo F"/>
    <x v="3"/>
    <s v="Operador"/>
    <s v="Fernando Chavez"/>
    <m/>
    <n v="4"/>
    <s v="Agua, idrolavadora, botador cilindrico, jabón"/>
    <d v="2026-05-08T00:00:00"/>
    <m/>
    <m/>
    <s v="Abierto"/>
  </r>
  <r>
    <s v="Transporte"/>
    <s v="Mantenimiento a rodillos tensores de cadenas tramo H"/>
    <x v="3"/>
    <s v="Mecánico"/>
    <s v="Melvin Olivorio"/>
    <m/>
    <n v="6"/>
    <s v="Desengrasante, WD-40"/>
    <d v="2026-05-25T00:00:00"/>
    <m/>
    <s v="Se realizo mantenimiento a los rodillos de cadena se encontraron algunos rodillos pegados se le aplico WD-40"/>
    <s v="Cerrado"/>
  </r>
  <r>
    <s v="Pasteurizador"/>
    <s v="Instalación de válvulas de asiento inclinado de 1-1/2&quot;"/>
    <x v="1"/>
    <s v="Mecánico"/>
    <s v="Jeremías Miranda"/>
    <m/>
    <n v="6"/>
    <s v="Niples de 1 1/2&quot; NPT"/>
    <d v="2026-05-11T00:00:00"/>
    <m/>
    <m/>
    <s v="Abierto"/>
  </r>
  <r>
    <s v="Lavadora de botellas"/>
    <s v="*Inspeccion para limpieza de serpentines de vapor "/>
    <x v="3"/>
    <s v="Operador"/>
    <s v="Daniel Marroquin"/>
    <m/>
    <n v="1"/>
    <m/>
    <d v="2026-05-11T00:00:00"/>
    <m/>
    <m/>
    <s v="Cerrado"/>
  </r>
  <r>
    <s v="Lavadora de botellas"/>
    <s v="*Mantenimiento a serpentines de vapor, se debe realizar limpieza externa"/>
    <x v="3"/>
    <s v="Operador"/>
    <s v="Daniel Marroquin"/>
    <m/>
    <n v="6"/>
    <s v="Quimico para limpiar incrustaciones, cepillos de alambres y limpia pipas de alambre"/>
    <d v="2026-05-11T00:00:00"/>
    <m/>
    <m/>
    <s v="Abierto"/>
  </r>
  <r>
    <s v="Lavadora de botellas"/>
    <s v="Desconexion y re conexión de bomba de soda TK 3"/>
    <x v="1"/>
    <s v="Electricista"/>
    <s v="Fernando Contreras"/>
    <m/>
    <n v="0.5"/>
    <m/>
    <d v="2026-05-11T00:00:00"/>
    <m/>
    <s v="Se desconecto bomba y se volvio a conectar despues de que la revisaron"/>
    <s v="Cerrado"/>
  </r>
  <r>
    <s v="Palet"/>
    <s v="Orden de cables dentro de JB paletizadora"/>
    <x v="3"/>
    <s v="Electricista"/>
    <s v="René"/>
    <m/>
    <n v="12"/>
    <m/>
    <d v="2026-05-11T00:00:00"/>
    <m/>
    <m/>
    <s v="Cerrado"/>
  </r>
  <r>
    <s v="Despalet 300"/>
    <s v="Ordenamiento de cables dentro de JB despaletizadora de cajas"/>
    <x v="3"/>
    <s v="Electricista"/>
    <s v="René"/>
    <m/>
    <n v="12"/>
    <s v="Cinchos plásticos, señalizaciones"/>
    <d v="2026-05-11T00:00:00"/>
    <m/>
    <s v="Se realizo reordenamiento de cables en JB1 de despalet de botellas, despalet de cajas y paletizadora, queda en las mejores condiciones posibles"/>
    <s v="Cerrado"/>
  </r>
  <r>
    <s v="Lavadora de botellas"/>
    <s v="Cambio de sello mecánico de bomba de soda TK 3"/>
    <x v="1"/>
    <s v="Mecánico"/>
    <s v="Daniel Monterrosa"/>
    <m/>
    <n v="1"/>
    <s v="sello mecánico de fuelle 22 mm carbono/cerámica/Buna"/>
    <d v="2026-05-11T00:00:00"/>
    <m/>
    <s v="Se instalo sello mecanico  y se instalo bomba de lavadora de botella y se conecto se hicieron pruebas y siguio fugando bomba de lavadora de tanque 3"/>
    <s v="Cerrado"/>
  </r>
  <r>
    <s v="Pasteurizador"/>
    <s v="Añadir dreno en entrada principal de vapor "/>
    <x v="1"/>
    <s v="Mecánico"/>
    <s v="Melvin Olivorio"/>
    <m/>
    <n v="1"/>
    <s v="Tee de inoxidable, 2 niples, codo y válvula de 1/2 "/>
    <d v="2026-05-11T00:00:00"/>
    <m/>
    <s v="Se instalo una valvula de bola para dreno, se utilizó camisas y niples de 1/2 y se coloco nuevo teflon en algunos acoples"/>
    <s v="Cerrado"/>
  </r>
  <r>
    <s v="Pasteurizador"/>
    <s v="*Inspección y limpieza de guías de malla transportadora de pasteurizador"/>
    <x v="3"/>
    <s v="Operador"/>
    <m/>
    <m/>
    <n v="4"/>
    <s v="Agua, químico de limpieza, cepillos"/>
    <d v="2026-05-11T00:00:00"/>
    <m/>
    <m/>
    <s v="Abierto"/>
  </r>
  <r>
    <s v="Pasteurizador"/>
    <s v="Realizar modificación en tolva para que la basura se recepcione correctamente en el basurero"/>
    <x v="3"/>
    <s v="Mecánico"/>
    <m/>
    <m/>
    <n v="5"/>
    <s v="Lámina de acero inoxidable, electrodos, aparato de soldar"/>
    <d v="2026-05-07T00:00:00"/>
    <m/>
    <m/>
    <s v="Cerrado"/>
  </r>
  <r>
    <s v="Etiquetadora"/>
    <s v="Fijar posición de cepillos y soportes 750 aplicando loctitte azul a los tornillos"/>
    <x v="3"/>
    <s v="Operador"/>
    <s v="Byron Ramos"/>
    <m/>
    <n v="1"/>
    <s v="Loctite 242 (Azul)"/>
    <d v="2026-05-11T00:00:00"/>
    <m/>
    <m/>
    <s v="Abierto"/>
  </r>
  <r>
    <s v="Despalet 300"/>
    <s v="Conexión de donas eléctricas en gabinete de mezanine de envasado 440V"/>
    <x v="1"/>
    <s v="Electricista"/>
    <m/>
    <m/>
    <n v="12"/>
    <m/>
    <d v="2026-05-11T00:00:00"/>
    <m/>
    <m/>
    <s v="Cerrado"/>
  </r>
  <r>
    <s v="Etiquetadora"/>
    <s v="Montaje de pulmón de aire para etiquetadora"/>
    <x v="1"/>
    <s v="Mecánico"/>
    <m/>
    <m/>
    <n v="1.5"/>
    <m/>
    <d v="2026-05-11T00:00:00"/>
    <m/>
    <m/>
    <s v="Cerrado"/>
  </r>
  <r>
    <s v="Transporte"/>
    <s v="Girar chumacera de transporte de entrada a secador para que la grasera quede en posición de poder engrasar"/>
    <x v="1"/>
    <s v="Mecánico"/>
    <s v="Emilio Siguenza"/>
    <m/>
    <n v="0.5"/>
    <m/>
    <d v="2026-05-11T00:00:00"/>
    <m/>
    <s v="Se realizo el giro sin inconvenientes se lubrico cadena de transmisión y se realizo giro de puntos de lubricacion"/>
    <s v="Cerrado"/>
  </r>
  <r>
    <s v="Lavadora de botellas"/>
    <s v="Darle vuelta en sentido correcto a valvula proporcional"/>
    <x v="1"/>
    <s v="Mecánico"/>
    <s v="Melvin Olivorio"/>
    <m/>
    <s v="0.5"/>
    <m/>
    <m/>
    <m/>
    <m/>
    <m/>
  </r>
  <r>
    <s v="Lavadora de botellas"/>
    <s v="Calibrar válvula proporcional del economizador"/>
    <x v="3"/>
    <s v="Electricista"/>
    <s v="Andrea Castro"/>
    <m/>
    <n v="1"/>
    <s v="Pinza amperimétrica Fluke"/>
    <d v="2026-05-11T00:00:00"/>
    <m/>
    <s v="Se tiro y conecto cable de señales de referencia que hacia falta al actuador, se hizo la revision y el actuador funcionaba en manual pero no se realizó prueba en automatico, se comenzo calibración pero fallo y se dejo igual que como estaba"/>
    <s v="Abierto"/>
  </r>
  <r>
    <s v="Llenadora"/>
    <s v="Lubricacion de distribuidor, pistones elevadores, chumacera de transporte de entrada y salida"/>
    <x v="1"/>
    <s v="Operador"/>
    <m/>
    <m/>
    <n v="0.5"/>
    <s v="Grasas para lubricación"/>
    <d v="2026-05-11T00:00:00"/>
    <m/>
    <s v="Se realizo engrase general de llenadora con sus grasas correspondientes"/>
    <s v="Cerrado"/>
  </r>
  <r>
    <s v="Pasteurizador"/>
    <s v="Colocar tapones en agujeros de termopozos "/>
    <x v="1"/>
    <s v="Operador"/>
    <s v="Leonel "/>
    <m/>
    <n v="1"/>
    <s v="Tapones ciegos de 1/2&quot;"/>
    <d v="2026-05-11T00:00:00"/>
    <m/>
    <m/>
    <s v="Cerrado"/>
  </r>
  <r>
    <s v="Pasteurizador"/>
    <s v="Colocar tapón para recuperar válvula de 1/2&quot; en intercambiador de vapor"/>
    <x v="1"/>
    <s v="Operador"/>
    <s v="William Canizalez"/>
    <m/>
    <n v="1"/>
    <s v="Tapón ciego de 1/2&quot;"/>
    <d v="2026-05-11T00:00:00"/>
    <m/>
    <m/>
    <s v="Abierto"/>
  </r>
  <r>
    <s v="Pasteurizador"/>
    <s v="Desconexion de presostato de vapor en entrada principal"/>
    <x v="3"/>
    <s v="Electricista"/>
    <m/>
    <m/>
    <m/>
    <m/>
    <m/>
    <m/>
    <m/>
    <m/>
  </r>
  <r>
    <s v="Pasteurizador"/>
    <s v="Aislar presostato de vapor en entrada principal "/>
    <x v="3"/>
    <s v="Operador"/>
    <s v="William Canizalez"/>
    <m/>
    <n v="1"/>
    <s v="1 Niple de 1/2&quot;_x000a_1 Válvula de 1/2&quot;"/>
    <d v="2026-05-11T00:00:00"/>
    <m/>
    <m/>
    <s v="Cerrado"/>
  </r>
  <r>
    <s v="Pasteurizador"/>
    <s v="Calibrar sensor de presión de agua en tubería de entrada"/>
    <x v="3"/>
    <s v="Electricista"/>
    <m/>
    <m/>
    <n v="0.5"/>
    <m/>
    <d v="2026-05-11T00:00:00"/>
    <m/>
    <m/>
    <s v="Abierto"/>
  </r>
  <r>
    <s v="Palet"/>
    <s v="Mover escalera 30 cm adelante "/>
    <x v="1"/>
    <s v="Mecánico"/>
    <s v="Daniel Marroquin"/>
    <m/>
    <n v="2"/>
    <s v="8 pernos de expansión de 1/2&quot;_x000a_1 broca de concreto de 1/2&quot;"/>
    <d v="2026-05-25T00:00:00"/>
    <m/>
    <s v="No se realizo por falta de items"/>
    <s v="Abierto"/>
  </r>
  <r>
    <s v="Desecajonadora"/>
    <s v="Re apriete de pernos de cabezal #2"/>
    <x v="3"/>
    <s v="Operador"/>
    <s v="Robin Guardado"/>
    <m/>
    <n v="1"/>
    <m/>
    <d v="2026-05-11T00:00:00"/>
    <m/>
    <m/>
    <s v="Cerrado"/>
  </r>
  <r>
    <s v="Lavadora de cajas"/>
    <s v="*Posicionar sonda de nivel en tanques 10 cm abajo"/>
    <x v="1"/>
    <s v="Mecánico"/>
    <s v="Jeremías Miranda"/>
    <m/>
    <n v="2"/>
    <s v="2 Camisa inox de 1/2&quot;_x000a_2 Tapón de 3/4&quot;"/>
    <d v="2026-05-08T00:00:00"/>
    <m/>
    <m/>
    <m/>
  </r>
  <r>
    <s v="Pasteurizador"/>
    <s v="Reparación de malla superior "/>
    <x v="1"/>
    <s v="Mecánico"/>
    <s v="Emilio Siguenza"/>
    <m/>
    <n v="8"/>
    <s v="Electrodo, almadana"/>
    <d v="2026-05-25T00:00:00"/>
    <m/>
    <m/>
    <s v="Abierto"/>
  </r>
  <r>
    <s v="Etiquetadora"/>
    <s v="Fabricacion de soporte para peine de aire"/>
    <x v="1"/>
    <s v="Mecánico"/>
    <s v="Jeremías Miranda"/>
    <m/>
    <n v="4"/>
    <s v="electrodo, tubo, peine, racor, manguera"/>
    <d v="2026-05-25T00:00:00"/>
    <m/>
    <m/>
    <s v="Abierto"/>
  </r>
  <r>
    <s v="Etiquetadora"/>
    <s v="Instalación de filtro regulador neumatico para peine"/>
    <x v="3"/>
    <s v="Mecánico"/>
    <s v="Jeremías Miranda"/>
    <m/>
    <n v="1"/>
    <s v="Reductor, filtro regulador midi"/>
    <d v="2026-05-25T00:00:00"/>
    <m/>
    <s v="No hubo retroalimentacion"/>
    <s v="Cerrado"/>
  </r>
  <r>
    <s v="General"/>
    <s v="Limpieza de paneles en mezzanine"/>
    <x v="3"/>
    <s v="Electricista"/>
    <s v="Fernando Contreras"/>
    <m/>
    <n v="3"/>
    <s v="Brocha, limpiador de contactos, wipe de tela, pines, cinchas plasticas"/>
    <d v="2026-05-25T00:00:00"/>
    <m/>
    <s v="Se limpio con limpiador de contacto y wipe y se pusieron tapaderas respectivas en cada uno"/>
    <s v="Cerrado"/>
  </r>
  <r>
    <s v="Transporte"/>
    <s v="Limpieza de tramo F"/>
    <x v="1"/>
    <s v="Operador"/>
    <s v="Daniel Marroquin"/>
    <m/>
    <n v="3"/>
    <m/>
    <d v="2026-05-14T00:00:00"/>
    <m/>
    <m/>
    <s v="Abierto"/>
  </r>
  <r>
    <s v="Transporte"/>
    <s v="Limpieza de tramo I"/>
    <x v="1"/>
    <s v="Operador"/>
    <s v="Leonel Vasquez"/>
    <m/>
    <n v="3"/>
    <m/>
    <d v="2026-05-14T00:00:00"/>
    <m/>
    <m/>
    <s v="Abierto"/>
  </r>
  <r>
    <s v="Transporte"/>
    <s v="Limpieza de tramo D"/>
    <x v="1"/>
    <s v="Operador"/>
    <s v="Daniel Monterrosa"/>
    <m/>
    <n v="3"/>
    <m/>
    <d v="2026-05-14T00:00:00"/>
    <m/>
    <m/>
    <s v="Abierto"/>
  </r>
  <r>
    <s v="Transporte"/>
    <s v="Limpieza de tramo C"/>
    <x v="1"/>
    <s v="Operador"/>
    <s v="Santos Pineda"/>
    <m/>
    <n v="3"/>
    <m/>
    <d v="2026-05-14T00:00:00"/>
    <m/>
    <m/>
    <s v="Abierto"/>
  </r>
  <r>
    <s v="Transporte"/>
    <s v="Limpieza de canaletas de todo el transporte y de drenajes desde despalet 150 hasta lavadora de botellas"/>
    <x v="1"/>
    <s v="Operador"/>
    <s v="Javier Cortez"/>
    <m/>
    <n v="4"/>
    <m/>
    <d v="2026-05-14T00:00:00"/>
    <m/>
    <m/>
    <s v="Abierto"/>
  </r>
  <r>
    <s v="Transporte"/>
    <s v="Limpieza de tramo H"/>
    <x v="1"/>
    <s v="Operador"/>
    <s v="Luis Cornejo"/>
    <m/>
    <n v="3"/>
    <m/>
    <d v="2026-05-14T00:00:00"/>
    <m/>
    <m/>
    <s v="Abierto"/>
  </r>
  <r>
    <s v="General"/>
    <s v="Limpieza de paneles en mezzanine"/>
    <x v="3"/>
    <s v="Electricista"/>
    <s v="René Rodriguez"/>
    <m/>
    <n v="3"/>
    <s v="Brocha, limpiador de contactos, wipe de tela, pines, cinchas plasticas"/>
    <d v="2026-05-25T00:00:00"/>
    <m/>
    <s v="Se realizo limpieza y orden de tableros del area del mezzanine. se enviaron fotos al grupo"/>
    <s v="Cerrado"/>
  </r>
  <r>
    <s v="Transporte"/>
    <s v="Mantenimiento a rodillos tensores de cadenas tramo salida de pasteurizador"/>
    <x v="3"/>
    <s v="Mecánico"/>
    <s v="Daniel Monterrosa"/>
    <m/>
    <n v="5"/>
    <s v="Desengrasante, WD-40"/>
    <d v="2026-05-25T00:00:00"/>
    <m/>
    <s v="Se revisaron rodillos de transporte de cadena tensores, todos estaban buenos no están pegados ni duros, se re apretaron balancines de sensores que estaban flojos y se alinearon los que estaban torcidos"/>
    <s v="Cerrado"/>
  </r>
  <r>
    <s v="General"/>
    <s v="Instalación de muebles para taller"/>
    <x v="4"/>
    <s v="Mecánico"/>
    <s v="Jeremías Miranda"/>
    <m/>
    <n v="3"/>
    <s v="Taladro, Anclas para tablaroca, tornillos"/>
    <d v="2026-05-25T00:00:00"/>
    <m/>
    <s v="Faltaron insumos"/>
    <s v="Abierto"/>
  </r>
  <r>
    <s v="Transporte"/>
    <s v="Instalacion de seguro en motor salida de lavadora a inspector"/>
    <x v="1"/>
    <s v="Mecánico"/>
    <s v="Jeremías Miranda"/>
    <m/>
    <n v="1"/>
    <s v="Seguro, pinza quita seguros"/>
    <d v="2026-05-25T00:00:00"/>
    <m/>
    <s v="No hubo retroalimentacion"/>
    <s v="Cerrado"/>
  </r>
  <r>
    <s v="Despalet de cajas"/>
    <s v="Modificacion de baranda lateral de mesa giratoria de cajas"/>
    <x v="1"/>
    <s v="Mecánico"/>
    <s v="Daniel Monterrosa"/>
    <m/>
    <n v="1"/>
    <s v="Taladro, machuelo"/>
    <d v="2026-05-25T00:00:00"/>
    <m/>
    <s v="Se machuelio ya que la tuerca estaba sobada y se instalaron pernos nuevos y quedo fija la guarda y se fijo baranda de seguridad de maquina ya que estaba floja se hicieron bases para instalar"/>
    <s v="Cerrado"/>
  </r>
  <r>
    <s v="Inspector de nivel de botella llena"/>
    <s v="Orden y limpieza de panel de control de transporte"/>
    <x v="3"/>
    <s v="Electricista"/>
    <s v="Fernando Contreras"/>
    <m/>
    <n v="5"/>
    <s v="Brocha, limpiador de contactos, wipe de tela, pines, cinchas plasticas"/>
    <d v="2026-05-25T00:00:00"/>
    <m/>
    <s v="Se ordenó y limpio todo y se pusieron sus tapaderas"/>
    <s v="Cerrado"/>
  </r>
  <r>
    <s v="Etiquetadora"/>
    <s v="Orden y limpieza de panel de mando en etiquetadora"/>
    <x v="3"/>
    <s v="Electricista"/>
    <s v="Andrea Castro"/>
    <m/>
    <n v="5"/>
    <s v="Brocha, limpiador de contactos, wipe de tela, pines, cinchas plasticas"/>
    <d v="2026-05-25T00:00:00"/>
    <m/>
    <m/>
    <s v="Abierto"/>
  </r>
  <r>
    <s v="Transporte"/>
    <s v="Revisión de Sprocket motor #2 "/>
    <x v="1"/>
    <s v="Mecánico"/>
    <s v="Emilio Siguenza"/>
    <m/>
    <n v="1"/>
    <s v="Saca pin, martillo, sprocket Z21"/>
    <d v="2026-06-01T00:00:00"/>
    <m/>
    <s v="Los sprocket estaban en buen estado, el eje se habia movido, desmontamos cadenas y alineamos sprocket y eje dejando todo en su lugar, se cargo el transporte con envase Regia 330ml y funciono bien"/>
    <s v="Cerrado"/>
  </r>
  <r>
    <s v="Transporte"/>
    <s v="Verificación de tags de motor con CCM"/>
    <x v="1"/>
    <s v="Electricista"/>
    <s v="Fernando Contreras"/>
    <m/>
    <n v="5"/>
    <s v="Cinta aislante, marcador, planos electricos"/>
    <d v="2026-06-01T00:00:00"/>
    <m/>
    <s v="Se identificaron la mayoria y se vio falla de la ultima vez y se resolvió con ayuda de Mayron y Raul, se necesita etiquetadora para poner respectiva numeración"/>
    <s v="Cerrado"/>
  </r>
  <r>
    <s v="Despalet de botellas"/>
    <s v="Modificación de topes de regia 750ml"/>
    <x v="1"/>
    <s v="Mecánico"/>
    <s v="Jeremías Miranda"/>
    <m/>
    <n v="2"/>
    <s v="Taladro de banco, topes de Regia 750, broca "/>
    <d v="2026-06-01T00:00:00"/>
    <m/>
    <s v="No se realizo modificación en topes ya que se hizo una mejor inspeccion de la falla y se ajustaron guias de transporte y sensores de parada de tarima, se ajustaron presiones de aire tambien se anclo tope de tarima en area de carga"/>
    <s v="Cerrado"/>
  </r>
  <r>
    <s v="Despalet de botellas"/>
    <s v="Modificacion de soportes de sensor en centrador"/>
    <x v="1"/>
    <s v="Mecánico"/>
    <s v="Melvin Olivorio"/>
    <m/>
    <n v="5"/>
    <s v="Perfiles acero inox, pulidora, aparato de soldar"/>
    <d v="2026-06-01T00:00:00"/>
    <m/>
    <s v="Se modifico soporte de platina hacia un lado para utilizar solo agujero de platina y asi poder utilizar perno con tuerca en vez de base con rosca"/>
    <s v="Cerrado"/>
  </r>
  <r>
    <s v="Despalet de botellas"/>
    <s v="Modificación de altura de guia blanca en transporte de tarima"/>
    <x v="1"/>
    <s v="Mecánico"/>
    <s v="Emilio Siguenza"/>
    <m/>
    <n v="3"/>
    <s v="Lainas de acero inox, pulidora, aparato de soldar"/>
    <d v="2026-06-01T00:00:00"/>
    <m/>
    <s v="Se colocaron alzas para subir guias de transporte de palet, se ancló tope de palet en sector terminal de carga, se probó palet 150 y no dio problema"/>
    <s v="Cerrado"/>
  </r>
  <r>
    <s v="Etiquetadora"/>
    <s v="Montaje de nuevo soporte para sensor de Videojet"/>
    <x v="1"/>
    <s v="Mecánico"/>
    <s v="Melvin Olivorio"/>
    <m/>
    <n v="3"/>
    <s v="Pulidora, broca, perneria, sensor"/>
    <d v="2026-06-01T00:00:00"/>
    <m/>
    <s v="Se fabricaron nuevas bases para soporte de sensor y se perforó agujero chino para tener mejor calibracion de sensores"/>
    <s v="Cerrado"/>
  </r>
  <r>
    <s v="Etiquetadora"/>
    <s v="Conexion de sensor FDC NPN"/>
    <x v="1"/>
    <s v="Electricista"/>
    <s v="Fernando Contreras"/>
    <m/>
    <n v="1"/>
    <s v="Cinta aislante, sensor NPN"/>
    <d v="2026-06-01T00:00:00"/>
    <m/>
    <s v="Se dejó puesto sensor pero no se terminó por pruebas de etiquetadora ya quedo listo para ajustar altura"/>
    <s v="Cerrad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5">
  <r>
    <x v="0"/>
    <s v="Cambio de sello mecánico de bomba tk 3"/>
    <m/>
    <x v="0"/>
    <x v="0"/>
    <m/>
    <m/>
    <s v="Sello mecánico 22 mm, silicón de alta temperatura"/>
    <x v="0"/>
    <m/>
    <m/>
    <x v="0"/>
  </r>
  <r>
    <x v="0"/>
    <s v="Cambio de sello mecánico de bomba tk 1"/>
    <m/>
    <x v="0"/>
    <x v="0"/>
    <m/>
    <m/>
    <m/>
    <x v="1"/>
    <m/>
    <m/>
    <x v="0"/>
  </r>
  <r>
    <x v="1"/>
    <s v="Cambio de pistón de freno de cajas en entrada"/>
    <m/>
    <x v="0"/>
    <x v="0"/>
    <m/>
    <m/>
    <s v="Pistón DSBC-50-50"/>
    <x v="1"/>
    <m/>
    <m/>
    <x v="0"/>
  </r>
  <r>
    <x v="0"/>
    <s v="Enderezado de canastos"/>
    <s v="Correctivo"/>
    <x v="1"/>
    <x v="1"/>
    <m/>
    <n v="5"/>
    <m/>
    <x v="2"/>
    <m/>
    <m/>
    <x v="1"/>
  </r>
  <r>
    <x v="0"/>
    <s v="Reemplazo de eslabones de cadena principal"/>
    <m/>
    <x v="1"/>
    <x v="0"/>
    <m/>
    <m/>
    <m/>
    <x v="3"/>
    <m/>
    <m/>
    <x v="1"/>
  </r>
  <r>
    <x v="0"/>
    <s v="Cambio de retendores en caja reductora #1"/>
    <m/>
    <x v="0"/>
    <x v="0"/>
    <m/>
    <m/>
    <s v="Retenedor 135x170x12"/>
    <x v="4"/>
    <m/>
    <m/>
    <x v="0"/>
  </r>
  <r>
    <x v="1"/>
    <s v="Inspección de guías de deslizamiento horizontal"/>
    <m/>
    <x v="0"/>
    <x v="0"/>
    <m/>
    <m/>
    <m/>
    <x v="1"/>
    <m/>
    <m/>
    <x v="0"/>
  </r>
  <r>
    <x v="2"/>
    <s v="Cambio de retenedores en motor B22"/>
    <m/>
    <x v="0"/>
    <x v="0"/>
    <m/>
    <m/>
    <s v="Retenedores 50x80x10"/>
    <x v="4"/>
    <m/>
    <m/>
    <x v="0"/>
  </r>
  <r>
    <x v="2"/>
    <s v="Cambio de retenedores en motor de rechazo"/>
    <m/>
    <x v="0"/>
    <x v="0"/>
    <m/>
    <m/>
    <s v="Retenedores 45x75x8"/>
    <x v="4"/>
    <m/>
    <m/>
    <x v="0"/>
  </r>
  <r>
    <x v="2"/>
    <s v="Anclar pasarela de paletizadora al piso"/>
    <s v="N/A"/>
    <x v="1"/>
    <x v="0"/>
    <m/>
    <n v="1"/>
    <s v="Pernos de expasión 5/16&quot;, broca para concreto 5/16&quot;"/>
    <x v="5"/>
    <m/>
    <m/>
    <x v="0"/>
  </r>
  <r>
    <x v="3"/>
    <s v="Limpieza de tolva y carrilera de corona"/>
    <s v="Preventivo"/>
    <x v="1"/>
    <x v="2"/>
    <m/>
    <n v="0.5"/>
    <s v="Wipe, alcool/desinfectante inoloro"/>
    <x v="2"/>
    <m/>
    <m/>
    <x v="1"/>
  </r>
  <r>
    <x v="0"/>
    <s v="Instalación de visores de nivel de tanques"/>
    <s v="Correctivo"/>
    <x v="0"/>
    <x v="3"/>
    <m/>
    <n v="2.5"/>
    <s v="12 niples1/2_x000a_3 m manguera 1/2_x000a_6 válvulas de bola 1/2_x000a_3 codos 1/2_x000a_3 Tes 1/2_x000a_6 Colas de garrobo_x000a_6 abrazaderas metálicas"/>
    <x v="2"/>
    <m/>
    <s v="Se armó sistema de valvula para el nivel de agua de los tanques 1, 2 y 3 se observó varios niples y camisas que estaban soldados a los tanque con oxido se limpio con penetrante"/>
    <x v="0"/>
  </r>
  <r>
    <x v="4"/>
    <s v="Reparación de fuga de en bomba tk 2"/>
    <s v="Correctivo"/>
    <x v="0"/>
    <x v="0"/>
    <m/>
    <s v="0.5"/>
    <m/>
    <x v="6"/>
    <m/>
    <m/>
    <x v="0"/>
  </r>
  <r>
    <x v="2"/>
    <s v="Enviar motorreductor B22 a calzar alojamiento con proveedor externo"/>
    <s v="Correctivo"/>
    <x v="0"/>
    <x v="4"/>
    <m/>
    <n v="12"/>
    <m/>
    <x v="2"/>
    <m/>
    <m/>
    <x v="0"/>
  </r>
  <r>
    <x v="5"/>
    <s v="Aprete de prisioneros de las catarinas de ejes de elevación"/>
    <s v="Preventivo"/>
    <x v="0"/>
    <x v="5"/>
    <m/>
    <n v="1"/>
    <m/>
    <x v="2"/>
    <m/>
    <s v="Se socaron prisioneros de catarina de elevación, se lubricó cadena de elevación y se apretaron tuercas de cadena de elevación se subió brazo de despaletizador de caja porque topaba en cabezal"/>
    <x v="0"/>
  </r>
  <r>
    <x v="1"/>
    <s v="Aprete de prisioneros de las catarinas de ejes de elevación"/>
    <s v="Preventivo"/>
    <x v="0"/>
    <x v="5"/>
    <m/>
    <n v="1"/>
    <m/>
    <x v="2"/>
    <m/>
    <s v="Se alineo cabeza de catarina desalineada, se alineó, se lubricó cadena de elevacion, se alineó brazo de traslación porque rozaba en cabezal de desempacadora"/>
    <x v="0"/>
  </r>
  <r>
    <x v="6"/>
    <s v="Aprete de prisioneros de las catarinas de ejes de elevación"/>
    <s v="Preventivo"/>
    <x v="0"/>
    <x v="5"/>
    <m/>
    <n v="1"/>
    <m/>
    <x v="2"/>
    <m/>
    <s v="Se alineo catarina y se apretaron prisioneros flojos y se lubricó cadena de elevación y guías de seguidores de levas"/>
    <x v="0"/>
  </r>
  <r>
    <x v="5"/>
    <s v="Modificación de posición de brazo para sensor de posición vertical de cabezal de paletizadora"/>
    <s v="Correctivo"/>
    <x v="0"/>
    <x v="0"/>
    <m/>
    <n v="3"/>
    <m/>
    <x v="5"/>
    <m/>
    <m/>
    <x v="0"/>
  </r>
  <r>
    <x v="5"/>
    <s v="Limpieza, lubricacion y re aprete de cadenas de rodillos en transportes de tarimas"/>
    <s v="Preventivo"/>
    <x v="1"/>
    <x v="6"/>
    <m/>
    <n v="1.5"/>
    <s v="Wippe, lubricante en spray"/>
    <x v="2"/>
    <m/>
    <m/>
    <x v="1"/>
  </r>
  <r>
    <x v="7"/>
    <s v="Limpieza, lubricacion y re aprete de cadenas de rodillos en transportes de tarimas"/>
    <s v="Preventivo"/>
    <x v="1"/>
    <x v="7"/>
    <m/>
    <n v="1.5"/>
    <s v="Wippe, lubricante en spray"/>
    <x v="2"/>
    <m/>
    <m/>
    <x v="1"/>
  </r>
  <r>
    <x v="5"/>
    <s v="Lubricación y reaprete de guías y rodillos seguidores de levas de cabezal"/>
    <s v="Preventivo"/>
    <x v="1"/>
    <x v="6"/>
    <m/>
    <n v="1"/>
    <s v="Wippe, lubricante en spray"/>
    <x v="2"/>
    <m/>
    <m/>
    <x v="1"/>
  </r>
  <r>
    <x v="7"/>
    <s v="Lubricación y reaprete de guías y rodillos seguidores de levas de cabezal"/>
    <s v="Preventivo"/>
    <x v="1"/>
    <x v="7"/>
    <m/>
    <n v="1"/>
    <s v="Wippe, lubricante en spray"/>
    <x v="2"/>
    <m/>
    <m/>
    <x v="1"/>
  </r>
  <r>
    <x v="1"/>
    <s v="Lubricación y reaprete de guías y rodillos seguidores de levas de cabezal"/>
    <s v="Preventivo"/>
    <x v="1"/>
    <x v="8"/>
    <m/>
    <n v="1"/>
    <s v="Wippe, lubricante en spray"/>
    <x v="2"/>
    <m/>
    <s v="Se completó y se termino de ajustar a 750 y se probo con envase"/>
    <x v="0"/>
  </r>
  <r>
    <x v="6"/>
    <s v="Lubricación y reaprete de guías y rodillos seguidores de levas de cabezal"/>
    <s v="Preventivo"/>
    <x v="1"/>
    <x v="9"/>
    <m/>
    <n v="1"/>
    <s v="Wippe, lubricante en spray"/>
    <x v="2"/>
    <m/>
    <s v="Se realizo ajuste y lubricacion ademas se realizo colocacion de arandelas a pernos de cabezales que se encontraban flojos en desencajonadora"/>
    <x v="1"/>
  </r>
  <r>
    <x v="0"/>
    <s v="Limpieza de exceso de grasa en cumaceras"/>
    <s v="Preventivo"/>
    <x v="1"/>
    <x v="10"/>
    <m/>
    <n v="0.5"/>
    <s v="Desengrasate, wippe"/>
    <x v="2"/>
    <m/>
    <m/>
    <x v="1"/>
  </r>
  <r>
    <x v="0"/>
    <s v="Limpieza interna de barras de soda tanque #3"/>
    <s v="Preventivo"/>
    <x v="1"/>
    <x v="11"/>
    <m/>
    <n v="4"/>
    <s v="Agua a presión, elemento punzante"/>
    <x v="2"/>
    <m/>
    <m/>
    <x v="1"/>
  </r>
  <r>
    <x v="0"/>
    <s v="Limpieza interna de tanque #3"/>
    <s v="Preventivo"/>
    <x v="1"/>
    <x v="11"/>
    <m/>
    <n v="3"/>
    <s v="idrolavadora, químico de limpieza"/>
    <x v="2"/>
    <m/>
    <m/>
    <x v="1"/>
  </r>
  <r>
    <x v="0"/>
    <s v="Limpieza interna de tanque #2"/>
    <m/>
    <x v="1"/>
    <x v="0"/>
    <m/>
    <m/>
    <m/>
    <x v="7"/>
    <m/>
    <m/>
    <x v="0"/>
  </r>
  <r>
    <x v="5"/>
    <s v="Inspección de unidades de mantenimiento de aire, verificación de nivel de aceite"/>
    <s v="Preventivo"/>
    <x v="1"/>
    <x v="0"/>
    <m/>
    <n v="0.5"/>
    <s v="Aceite ISO para vaso lubricador"/>
    <x v="2"/>
    <m/>
    <m/>
    <x v="1"/>
  </r>
  <r>
    <x v="8"/>
    <s v="Inspección de unidades de mantenimiento de aire, verificación de nivel de aceite"/>
    <s v="Preventivo"/>
    <x v="1"/>
    <x v="0"/>
    <m/>
    <n v="0.5"/>
    <s v="Aceite ISO para vaso lubricador"/>
    <x v="2"/>
    <m/>
    <m/>
    <x v="1"/>
  </r>
  <r>
    <x v="1"/>
    <s v="Inspección de cabezal de tulipas, verificar estado de vastagos, tornillos huecos y gomas"/>
    <s v="Preventivo"/>
    <x v="1"/>
    <x v="8"/>
    <m/>
    <n v="2"/>
    <s v="Vastagos, campanas, tornillos huecos, gomas"/>
    <x v="2"/>
    <m/>
    <m/>
    <x v="0"/>
  </r>
  <r>
    <x v="1"/>
    <s v="Inspección de unidades de mantenimiento de aire, verificación de nivel de aceite"/>
    <s v="Preventivo"/>
    <x v="1"/>
    <x v="9"/>
    <m/>
    <n v="0.25"/>
    <s v="Aceite ISO para vaso lubricador"/>
    <x v="2"/>
    <m/>
    <s v="Se reviso todo esta en orden con el aceite y sin fugas2"/>
    <x v="0"/>
  </r>
  <r>
    <x v="9"/>
    <s v="Inspección de unidades de mantenimiento de aire, verificación de nivel de aceite"/>
    <s v="Preventivo"/>
    <x v="1"/>
    <x v="12"/>
    <m/>
    <n v="0.25"/>
    <s v="Aceite ISO para vaso lubricador"/>
    <x v="2"/>
    <m/>
    <s v="Se realizo limpieza en estacion de paso, se quitaron residuos de grasa, se limpiaron bandas azules , se lavaron con desengrasante y cepillos, se revisó el estado y se encontraron en muy buen estado, se añadio platina en tramo de transporte que hacia falta en la parte del rechazo, se realizo limpieza de espejos"/>
    <x v="0"/>
  </r>
  <r>
    <x v="3"/>
    <s v="Inspección de pistones 26, 46, 29"/>
    <s v="Correctivo"/>
    <x v="1"/>
    <x v="13"/>
    <m/>
    <n v="2"/>
    <m/>
    <x v="2"/>
    <m/>
    <m/>
    <x v="0"/>
  </r>
  <r>
    <x v="3"/>
    <s v="Inspección de unidades de mantenimiento de aire, verificación de nivel de aceite"/>
    <s v="Preventivo"/>
    <x v="1"/>
    <x v="13"/>
    <m/>
    <n v="0.5"/>
    <s v="Aceite ISO para vaso lubricador"/>
    <x v="2"/>
    <m/>
    <s v="Se realizo inspeccion, no se encontro alguna anomalia"/>
    <x v="0"/>
  </r>
  <r>
    <x v="10"/>
    <s v="Inspección de unidades de mantenimiento de aire, verificación de nivel de aceite"/>
    <s v="Preventivo"/>
    <x v="1"/>
    <x v="14"/>
    <m/>
    <n v="0.5"/>
    <s v="Aceite ISO para vaso lubricador"/>
    <x v="2"/>
    <m/>
    <m/>
    <x v="0"/>
  </r>
  <r>
    <x v="6"/>
    <s v="Inspección de unidades de mantenimiento de aire, verificación de nivel de aceite"/>
    <s v="Preventivo"/>
    <x v="1"/>
    <x v="0"/>
    <m/>
    <n v="0.5"/>
    <s v="Aceite ISO para vaso lubricador"/>
    <x v="2"/>
    <m/>
    <s v="Se realizo llenado de vasos de unidad de mantenimiento"/>
    <x v="0"/>
  </r>
  <r>
    <x v="7"/>
    <s v="Inspección de unidades de mantenimiento de aire, verificación de nivel de aceite"/>
    <s v="Preventivo"/>
    <x v="1"/>
    <x v="0"/>
    <m/>
    <n v="0.5"/>
    <s v="Aceite ISO para vaso lubricador"/>
    <x v="2"/>
    <m/>
    <m/>
    <x v="1"/>
  </r>
  <r>
    <x v="5"/>
    <s v="Limpieza general de máquina"/>
    <s v="Preventivo"/>
    <x v="1"/>
    <x v="0"/>
    <m/>
    <n v="1"/>
    <m/>
    <x v="2"/>
    <m/>
    <m/>
    <x v="1"/>
  </r>
  <r>
    <x v="0"/>
    <s v="Limpieza general de máquina"/>
    <s v="Preventivo"/>
    <x v="1"/>
    <x v="0"/>
    <m/>
    <n v="1"/>
    <m/>
    <x v="2"/>
    <m/>
    <m/>
    <x v="1"/>
  </r>
  <r>
    <x v="4"/>
    <s v="Limpieza general de máquina"/>
    <s v="Preventivo"/>
    <x v="1"/>
    <x v="0"/>
    <m/>
    <n v="1"/>
    <m/>
    <x v="2"/>
    <m/>
    <m/>
    <x v="1"/>
  </r>
  <r>
    <x v="9"/>
    <s v="Limpieza general de máquina"/>
    <s v="Preventivo"/>
    <x v="1"/>
    <x v="0"/>
    <m/>
    <n v="2"/>
    <s v="Wipe de tela, alcool/solvente "/>
    <x v="2"/>
    <m/>
    <s v="Se reviso estado de unidad de mantenimiento junto a Bryan Iglesias y se limpio filtro"/>
    <x v="0"/>
  </r>
  <r>
    <x v="3"/>
    <s v="Inspeccion cilindros elevadores 26, 29 y 47"/>
    <s v="Correctivo"/>
    <x v="1"/>
    <x v="0"/>
    <m/>
    <n v="2"/>
    <s v="Wipe, llaves mixtas"/>
    <x v="2"/>
    <m/>
    <s v="Inspeccion a piston 47 y 54, retenedores superiores dañados, se les hizo limpieza, pendiente cambiarlos"/>
    <x v="0"/>
  </r>
  <r>
    <x v="3"/>
    <s v="Limpieza profunda de máquina"/>
    <s v="Preventivo"/>
    <x v="1"/>
    <x v="0"/>
    <m/>
    <n v="2"/>
    <s v="Wipe de tela, alcool/solvente "/>
    <x v="2"/>
    <m/>
    <s v="Orden realizada"/>
    <x v="0"/>
  </r>
  <r>
    <x v="10"/>
    <s v="Limpieza general de máquina"/>
    <s v="Preventivo"/>
    <x v="1"/>
    <x v="0"/>
    <m/>
    <n v="12"/>
    <s v="Wipe de tela, alcool/solvente "/>
    <x v="2"/>
    <m/>
    <m/>
    <x v="0"/>
  </r>
  <r>
    <x v="11"/>
    <s v="Inspeccion de unidades de mantenimiento de aire, verificacion de nivel de aceite"/>
    <s v="Preventivo"/>
    <x v="1"/>
    <x v="0"/>
    <m/>
    <n v="0.25"/>
    <m/>
    <x v="2"/>
    <m/>
    <m/>
    <x v="1"/>
  </r>
  <r>
    <x v="11"/>
    <s v="Limpieza profunda de máquina"/>
    <s v="Preventivo"/>
    <x v="1"/>
    <x v="0"/>
    <m/>
    <n v="2"/>
    <s v="Wipe de tela, alcool/solvente "/>
    <x v="2"/>
    <m/>
    <m/>
    <x v="1"/>
  </r>
  <r>
    <x v="12"/>
    <s v="Limpieza general de máquina"/>
    <s v="Preventivo"/>
    <x v="1"/>
    <x v="0"/>
    <m/>
    <n v="2"/>
    <s v="Wipe de tela, alcool/solvente "/>
    <x v="2"/>
    <m/>
    <m/>
    <x v="1"/>
  </r>
  <r>
    <x v="1"/>
    <s v="Limpieza general de máquina"/>
    <s v="Preventivo"/>
    <x v="1"/>
    <x v="0"/>
    <m/>
    <n v="2"/>
    <s v="Wipe de tela, alcool/solvente "/>
    <x v="2"/>
    <m/>
    <s v="Se completo limpieza de grasa dañada por nueva"/>
    <x v="0"/>
  </r>
  <r>
    <x v="6"/>
    <s v="Limpieza general de máquina"/>
    <s v="Preventivo"/>
    <x v="1"/>
    <x v="0"/>
    <m/>
    <n v="2"/>
    <s v="Wipe de tela, alcool/solvente "/>
    <x v="2"/>
    <m/>
    <s v="Se completó limpieza general, se completaron los 4 cabezales que se encontraban desarmados se reemplazaron los 40 pernos de sujecion y se cambiaron tulipas ya que las originales no tenian o rings"/>
    <x v="0"/>
  </r>
  <r>
    <x v="7"/>
    <s v="Limpieza general de máquina"/>
    <s v="Preventivo"/>
    <x v="1"/>
    <x v="0"/>
    <m/>
    <n v="2"/>
    <s v="Wipe de tela, alcool/solvente "/>
    <x v="2"/>
    <m/>
    <m/>
    <x v="1"/>
  </r>
  <r>
    <x v="2"/>
    <s v="Cambiar grapas de banda engomada de volteador de cajas"/>
    <s v="Correctivo"/>
    <x v="0"/>
    <x v="3"/>
    <m/>
    <n v="1"/>
    <s v="Grapas Alligator, martillo"/>
    <x v="2"/>
    <m/>
    <m/>
    <x v="0"/>
  </r>
  <r>
    <x v="2"/>
    <s v="*Limpieza de cadenas tramo C"/>
    <s v="Preventivo"/>
    <x v="1"/>
    <x v="15"/>
    <m/>
    <n v="4"/>
    <s v="Agua, idrolavadora, botador cilindrico, jabón"/>
    <x v="8"/>
    <m/>
    <m/>
    <x v="1"/>
  </r>
  <r>
    <x v="2"/>
    <s v="Limpieza de cadenas tramo H"/>
    <s v="Preventivo"/>
    <x v="1"/>
    <x v="0"/>
    <m/>
    <n v="4"/>
    <s v="Agua, idrolavadora, botador cilindrico, jabón"/>
    <x v="5"/>
    <m/>
    <m/>
    <x v="1"/>
  </r>
  <r>
    <x v="2"/>
    <s v="*Limpieza de cadenas tramo F"/>
    <s v="Preventivo"/>
    <x v="1"/>
    <x v="12"/>
    <m/>
    <n v="4"/>
    <s v="Agua, idrolavadora, botador cilindrico, jabón"/>
    <x v="8"/>
    <m/>
    <m/>
    <x v="1"/>
  </r>
  <r>
    <x v="2"/>
    <s v="Mantenimiento a rodillos tensores de cadenas tramo H"/>
    <s v="Preventivo"/>
    <x v="0"/>
    <x v="3"/>
    <m/>
    <n v="6"/>
    <s v="Desengrasante, WD-40"/>
    <x v="9"/>
    <m/>
    <s v="Se realizo mantenimiento a los rodillos de cadena se encontraron algunos rodillos pegados se le aplico WD-40"/>
    <x v="0"/>
  </r>
  <r>
    <x v="10"/>
    <s v="Instalación de válvulas de asiento inclinado de 1-1/2&quot;"/>
    <s v="Correctivo"/>
    <x v="0"/>
    <x v="16"/>
    <m/>
    <n v="6"/>
    <s v="Niples de 1 1/2&quot; NPT"/>
    <x v="2"/>
    <m/>
    <m/>
    <x v="1"/>
  </r>
  <r>
    <x v="0"/>
    <s v="*Inspeccion para limpieza de serpentines de vapor "/>
    <s v="Preventivo"/>
    <x v="1"/>
    <x v="1"/>
    <m/>
    <n v="1"/>
    <m/>
    <x v="2"/>
    <m/>
    <m/>
    <x v="0"/>
  </r>
  <r>
    <x v="0"/>
    <s v="*Mantenimiento a serpentines de vapor, se debe realizar limpieza externa"/>
    <s v="Preventivo"/>
    <x v="1"/>
    <x v="1"/>
    <m/>
    <n v="6"/>
    <s v="Quimico para limpiar incrustaciones, cepillos de alambres y limpia pipas de alambre"/>
    <x v="2"/>
    <m/>
    <m/>
    <x v="1"/>
  </r>
  <r>
    <x v="0"/>
    <s v="Desconexion y re conexión de bomba de soda TK 3"/>
    <s v="Correctivo"/>
    <x v="2"/>
    <x v="17"/>
    <m/>
    <n v="0.5"/>
    <m/>
    <x v="2"/>
    <m/>
    <s v="Se desconecto bomba y se volvio a conectar despues de que la revisaron"/>
    <x v="0"/>
  </r>
  <r>
    <x v="7"/>
    <s v="Orden de cables dentro de JB paletizadora"/>
    <s v="Preventivo"/>
    <x v="2"/>
    <x v="18"/>
    <m/>
    <n v="12"/>
    <m/>
    <x v="2"/>
    <m/>
    <m/>
    <x v="0"/>
  </r>
  <r>
    <x v="5"/>
    <s v="Ordenamiento de cables dentro de JB despaletizadora de cajas"/>
    <s v="Preventivo"/>
    <x v="2"/>
    <x v="18"/>
    <m/>
    <n v="12"/>
    <s v="Cinchos plásticos, señalizaciones"/>
    <x v="2"/>
    <m/>
    <s v="Se realizo reordenamiento de cables en JB1 de despalet de botellas, despalet de cajas y paletizadora, queda en las mejores condiciones posibles"/>
    <x v="0"/>
  </r>
  <r>
    <x v="0"/>
    <s v="Cambio de sello mecánico de bomba de soda TK 3"/>
    <s v="Correctivo"/>
    <x v="0"/>
    <x v="19"/>
    <m/>
    <n v="1"/>
    <s v="sello mecánico de fuelle 22 mm carbono/cerámica/Buna"/>
    <x v="2"/>
    <m/>
    <s v="Se instalo sello mecanico  y se instalo bomba de lavadora de botella y se conecto se hicieron pruebas y siguio fugando bomba de lavadora de tanque 3"/>
    <x v="0"/>
  </r>
  <r>
    <x v="10"/>
    <s v="Añadir dreno en entrada principal de vapor "/>
    <s v="Correctivo"/>
    <x v="0"/>
    <x v="3"/>
    <m/>
    <n v="1"/>
    <s v="Tee de inoxidable, 2 niples, codo y válvula de 1/2 "/>
    <x v="2"/>
    <m/>
    <s v="Se instalo una valvula de bola para dreno, se utilizó camisas y niples de 1/2 y se coloco nuevo teflon en algunos acoples"/>
    <x v="0"/>
  </r>
  <r>
    <x v="10"/>
    <s v="*Inspección y limpieza de guías de malla transportadora de pasteurizador"/>
    <s v="Preventivo"/>
    <x v="1"/>
    <x v="0"/>
    <m/>
    <n v="4"/>
    <s v="Agua, químico de limpieza, cepillos"/>
    <x v="2"/>
    <m/>
    <m/>
    <x v="1"/>
  </r>
  <r>
    <x v="10"/>
    <s v="Realizar modificación en tolva para que la basura se recepcione correctamente en el basurero"/>
    <s v="Preventivo"/>
    <x v="0"/>
    <x v="0"/>
    <m/>
    <n v="5"/>
    <s v="Lámina de acero inoxidable, electrodos, aparato de soldar"/>
    <x v="6"/>
    <m/>
    <m/>
    <x v="0"/>
  </r>
  <r>
    <x v="11"/>
    <s v="Fijar posición de cepillos y soportes 750 aplicando loctitte azul a los tornillos"/>
    <s v="Preventivo"/>
    <x v="1"/>
    <x v="20"/>
    <m/>
    <n v="1"/>
    <s v="Loctite 242 (Azul)"/>
    <x v="2"/>
    <m/>
    <m/>
    <x v="1"/>
  </r>
  <r>
    <x v="5"/>
    <s v="Conexión de donas eléctricas en gabinete de mezanine de envasado 440V"/>
    <s v="Correctivo"/>
    <x v="2"/>
    <x v="0"/>
    <m/>
    <n v="12"/>
    <m/>
    <x v="2"/>
    <m/>
    <m/>
    <x v="0"/>
  </r>
  <r>
    <x v="11"/>
    <s v="Montaje de pulmón de aire para etiquetadora"/>
    <s v="Correctivo"/>
    <x v="0"/>
    <x v="0"/>
    <m/>
    <n v="1.5"/>
    <m/>
    <x v="2"/>
    <m/>
    <m/>
    <x v="0"/>
  </r>
  <r>
    <x v="2"/>
    <s v="Girar chumacera de transporte de entrada a secador para que la grasera quede en posición de poder engrasar"/>
    <s v="Correctivo"/>
    <x v="0"/>
    <x v="21"/>
    <m/>
    <n v="0.5"/>
    <m/>
    <x v="2"/>
    <m/>
    <s v="Se realizo el giro sin inconvenientes se lubrico cadena de transmisión y se realizo giro de puntos de lubricacion"/>
    <x v="0"/>
  </r>
  <r>
    <x v="0"/>
    <s v="Darle vuelta en sentido correcto a valvula proporcional"/>
    <s v="Correctivo"/>
    <x v="0"/>
    <x v="3"/>
    <m/>
    <s v="0.5"/>
    <m/>
    <x v="10"/>
    <m/>
    <m/>
    <x v="2"/>
  </r>
  <r>
    <x v="0"/>
    <s v="Calibrar válvula proporcional del economizador"/>
    <s v="Preventivo"/>
    <x v="2"/>
    <x v="22"/>
    <m/>
    <n v="1"/>
    <s v="Pinza amperimétrica Fluke"/>
    <x v="2"/>
    <m/>
    <s v="Se tiro y conecto cable de señales de referencia que hacia falta al actuador, se hizo la revision y el actuador funcionaba en manual pero no se realizó prueba en automatico, se comenzo calibración pero fallo y se dejo igual que como estaba"/>
    <x v="1"/>
  </r>
  <r>
    <x v="3"/>
    <s v="Lubricacion de distribuidor, pistones elevadores, chumacera de transporte de entrada y salida"/>
    <s v="Correctivo"/>
    <x v="1"/>
    <x v="0"/>
    <m/>
    <n v="0.5"/>
    <s v="Grasas para lubricación"/>
    <x v="2"/>
    <m/>
    <s v="Se realizo engrase general de llenadora con sus grasas correspondientes"/>
    <x v="0"/>
  </r>
  <r>
    <x v="10"/>
    <s v="Colocar tapones en agujeros de termopozos "/>
    <s v="Correctivo"/>
    <x v="1"/>
    <x v="14"/>
    <m/>
    <n v="1"/>
    <s v="Tapones ciegos de 1/2&quot;"/>
    <x v="2"/>
    <m/>
    <m/>
    <x v="0"/>
  </r>
  <r>
    <x v="10"/>
    <s v="Colocar tapón para recuperar válvula de 1/2&quot; en intercambiador de vapor"/>
    <s v="Correctivo"/>
    <x v="1"/>
    <x v="23"/>
    <m/>
    <n v="1"/>
    <s v="Tapón ciego de 1/2&quot;"/>
    <x v="2"/>
    <m/>
    <m/>
    <x v="1"/>
  </r>
  <r>
    <x v="10"/>
    <s v="Desconexion de presostato de vapor en entrada principal"/>
    <s v="Preventivo"/>
    <x v="2"/>
    <x v="0"/>
    <m/>
    <m/>
    <m/>
    <x v="10"/>
    <m/>
    <m/>
    <x v="2"/>
  </r>
  <r>
    <x v="10"/>
    <s v="Aislar presostato de vapor en entrada principal "/>
    <s v="Preventivo"/>
    <x v="1"/>
    <x v="23"/>
    <m/>
    <n v="1"/>
    <s v="1 Niple de 1/2&quot;_x000a_1 Válvula de 1/2&quot;"/>
    <x v="2"/>
    <m/>
    <m/>
    <x v="0"/>
  </r>
  <r>
    <x v="10"/>
    <s v="Calibrar sensor de presión de agua en tubería de entrada"/>
    <s v="Preventivo"/>
    <x v="2"/>
    <x v="0"/>
    <m/>
    <n v="0.5"/>
    <m/>
    <x v="2"/>
    <m/>
    <m/>
    <x v="1"/>
  </r>
  <r>
    <x v="7"/>
    <s v="Mover escalera 30 cm adelante "/>
    <s v="Correctivo"/>
    <x v="0"/>
    <x v="1"/>
    <m/>
    <n v="2"/>
    <s v="8 pernos de expansión de 1/2&quot;_x000a_1 broca de concreto de 1/2&quot;"/>
    <x v="9"/>
    <m/>
    <s v="No se realizo por falta de items"/>
    <x v="1"/>
  </r>
  <r>
    <x v="1"/>
    <s v="Re apriete de pernos de cabezal #2"/>
    <s v="Preventivo"/>
    <x v="1"/>
    <x v="8"/>
    <m/>
    <n v="1"/>
    <m/>
    <x v="2"/>
    <m/>
    <m/>
    <x v="0"/>
  </r>
  <r>
    <x v="4"/>
    <s v="*Posicionar sonda de nivel en tanques 10 cm abajo"/>
    <s v="Correctivo"/>
    <x v="0"/>
    <x v="16"/>
    <m/>
    <n v="2"/>
    <s v="2 Camisa inox de 1/2&quot;_x000a_2 Tapón de 3/4&quot;"/>
    <x v="8"/>
    <m/>
    <m/>
    <x v="2"/>
  </r>
  <r>
    <x v="10"/>
    <s v="Reparación de malla superior "/>
    <s v="Correctivo"/>
    <x v="0"/>
    <x v="21"/>
    <m/>
    <n v="8"/>
    <s v="Electrodo, almadana"/>
    <x v="9"/>
    <m/>
    <m/>
    <x v="1"/>
  </r>
  <r>
    <x v="11"/>
    <s v="Fabricacion de soporte para peine de aire"/>
    <s v="Correctivo"/>
    <x v="0"/>
    <x v="16"/>
    <m/>
    <n v="4"/>
    <s v="electrodo, tubo, peine, racor, manguera"/>
    <x v="9"/>
    <m/>
    <m/>
    <x v="1"/>
  </r>
  <r>
    <x v="11"/>
    <s v="Instalación de filtro regulador neumatico para peine"/>
    <s v="Preventivo"/>
    <x v="0"/>
    <x v="16"/>
    <m/>
    <n v="1"/>
    <s v="Reductor, filtro regulador midi"/>
    <x v="9"/>
    <m/>
    <s v="No hubo retroalimentacion"/>
    <x v="0"/>
  </r>
  <r>
    <x v="13"/>
    <s v="Limpieza de paneles en mezzanine"/>
    <s v="Preventivo"/>
    <x v="2"/>
    <x v="17"/>
    <m/>
    <n v="3"/>
    <s v="Brocha, limpiador de contactos, wipe de tela, pines, cinchas plasticas"/>
    <x v="9"/>
    <m/>
    <s v="Se limpio con limpiador de contacto y wipe y se pusieron tapaderas respectivas en cada uno"/>
    <x v="0"/>
  </r>
  <r>
    <x v="2"/>
    <s v="Limpieza de tramo F"/>
    <s v="Correctivo"/>
    <x v="1"/>
    <x v="1"/>
    <m/>
    <n v="3"/>
    <m/>
    <x v="11"/>
    <m/>
    <m/>
    <x v="1"/>
  </r>
  <r>
    <x v="2"/>
    <s v="Limpieza de tramo I"/>
    <s v="Correctivo"/>
    <x v="1"/>
    <x v="24"/>
    <m/>
    <n v="3"/>
    <m/>
    <x v="11"/>
    <m/>
    <m/>
    <x v="1"/>
  </r>
  <r>
    <x v="2"/>
    <s v="Limpieza de tramo D"/>
    <s v="Correctivo"/>
    <x v="1"/>
    <x v="19"/>
    <m/>
    <n v="3"/>
    <m/>
    <x v="11"/>
    <m/>
    <m/>
    <x v="1"/>
  </r>
  <r>
    <x v="2"/>
    <s v="Limpieza de tramo C"/>
    <s v="Correctivo"/>
    <x v="1"/>
    <x v="6"/>
    <m/>
    <n v="3"/>
    <m/>
    <x v="11"/>
    <m/>
    <m/>
    <x v="1"/>
  </r>
  <r>
    <x v="2"/>
    <s v="Limpieza de canaletas de todo el transporte y de drenajes desde despalet 150 hasta lavadora de botellas"/>
    <s v="Correctivo"/>
    <x v="1"/>
    <x v="25"/>
    <m/>
    <n v="4"/>
    <m/>
    <x v="11"/>
    <m/>
    <m/>
    <x v="1"/>
  </r>
  <r>
    <x v="2"/>
    <s v="Limpieza de tramo H"/>
    <s v="Correctivo"/>
    <x v="1"/>
    <x v="13"/>
    <m/>
    <n v="3"/>
    <m/>
    <x v="11"/>
    <m/>
    <m/>
    <x v="1"/>
  </r>
  <r>
    <x v="13"/>
    <s v="Limpieza de paneles en mezzanine"/>
    <s v="Preventivo"/>
    <x v="2"/>
    <x v="26"/>
    <m/>
    <n v="3"/>
    <s v="Brocha, limpiador de contactos, wipe de tela, pines, cinchas plasticas"/>
    <x v="9"/>
    <m/>
    <s v="Se realizo limpieza y orden de tableros del area del mezzanine. se enviaron fotos al grupo"/>
    <x v="0"/>
  </r>
  <r>
    <x v="2"/>
    <s v="Mantenimiento a rodillos tensores de cadenas tramo salida de pasteurizador"/>
    <s v="Preventivo"/>
    <x v="0"/>
    <x v="19"/>
    <m/>
    <n v="5"/>
    <s v="Desengrasante, WD-40"/>
    <x v="9"/>
    <m/>
    <s v="Se revisaron rodillos de transporte de cadena tensores, todos estaban buenos no están pegados ni duros, se re apretaron balancines de sensores que estaban flojos y se alinearon los que estaban torcidos"/>
    <x v="0"/>
  </r>
  <r>
    <x v="13"/>
    <s v="Instalación de muebles para taller"/>
    <s v="Mejora"/>
    <x v="0"/>
    <x v="16"/>
    <m/>
    <n v="3"/>
    <s v="Taladro, Anclas para tablaroca, tornillos"/>
    <x v="9"/>
    <m/>
    <s v="Faltaron insumos"/>
    <x v="1"/>
  </r>
  <r>
    <x v="2"/>
    <s v="Instalacion de seguro en motor salida de lavadora a inspector"/>
    <s v="Correctivo"/>
    <x v="0"/>
    <x v="16"/>
    <m/>
    <n v="1"/>
    <s v="Seguro, pinza quita seguros"/>
    <x v="9"/>
    <m/>
    <s v="No hubo retroalimentacion"/>
    <x v="0"/>
  </r>
  <r>
    <x v="14"/>
    <s v="Modificacion de baranda lateral de mesa giratoria de cajas"/>
    <s v="Correctivo"/>
    <x v="0"/>
    <x v="19"/>
    <m/>
    <n v="1"/>
    <s v="Taladro, machuelo"/>
    <x v="9"/>
    <m/>
    <s v="Se machuelio ya que la tuerca estaba sobada y se instalaron pernos nuevos y quedo fija la guarda y se fijo baranda de seguridad de maquina ya que estaba floja se hicieron bases para instalar"/>
    <x v="0"/>
  </r>
  <r>
    <x v="15"/>
    <s v="Orden y limpieza de panel de control de transporte"/>
    <s v="Preventivo"/>
    <x v="2"/>
    <x v="17"/>
    <m/>
    <n v="5"/>
    <s v="Brocha, limpiador de contactos, wipe de tela, pines, cinchas plasticas"/>
    <x v="9"/>
    <m/>
    <s v="Se ordenó y limpio todo y se pusieron sus tapaderas"/>
    <x v="0"/>
  </r>
  <r>
    <x v="11"/>
    <s v="Orden y limpieza de panel de mando en etiquetadora"/>
    <s v="Preventivo"/>
    <x v="2"/>
    <x v="22"/>
    <m/>
    <n v="5"/>
    <s v="Brocha, limpiador de contactos, wipe de tela, pines, cinchas plasticas"/>
    <x v="9"/>
    <m/>
    <m/>
    <x v="1"/>
  </r>
  <r>
    <x v="2"/>
    <s v="Revisión de Sprocket motor #2 "/>
    <s v="Correctivo"/>
    <x v="0"/>
    <x v="21"/>
    <m/>
    <n v="1"/>
    <s v="Saca pin, martillo, sprocket Z21"/>
    <x v="12"/>
    <m/>
    <s v="Los sprocket estaban en buen estado, el eje se habia movido, desmontamos cadenas y alineamos sprocket y eje dejando todo en su lugar, se cargo el transporte con envase Regia 330ml y funciono bien"/>
    <x v="0"/>
  </r>
  <r>
    <x v="2"/>
    <s v="Verificación de tags de motor con CCM"/>
    <s v="Correctivo"/>
    <x v="2"/>
    <x v="17"/>
    <m/>
    <n v="5"/>
    <s v="Cinta aislante, marcador, planos electricos"/>
    <x v="12"/>
    <m/>
    <s v="Se identificaron la mayoria y se vio falla de la ultima vez y se resolvió con ayuda de Mayron y Raul, se necesita etiquetadora para poner respectiva numeración"/>
    <x v="0"/>
  </r>
  <r>
    <x v="16"/>
    <s v="Modificación de topes de regia 750ml"/>
    <s v="Correctivo"/>
    <x v="0"/>
    <x v="16"/>
    <m/>
    <n v="2"/>
    <s v="Taladro de banco, topes de Regia 750, broca "/>
    <x v="12"/>
    <m/>
    <s v="No se realizo modificación en topes ya que se hizo una mejor inspeccion de la falla y se ajustaron guias de transporte y sensores de parada de tarima, se ajustaron presiones de aire tambien se anclo tope de tarima en area de carga"/>
    <x v="0"/>
  </r>
  <r>
    <x v="16"/>
    <s v="Modificacion de soportes de sensor en centrador"/>
    <s v="Correctivo"/>
    <x v="0"/>
    <x v="3"/>
    <m/>
    <n v="5"/>
    <s v="Perfiles acero inox, pulidora, aparato de soldar"/>
    <x v="12"/>
    <m/>
    <s v="Se modifico soporte de platina hacia un lado para utilizar solo agujero de platina y asi poder utilizar perno con tuerca en vez de base con rosca"/>
    <x v="0"/>
  </r>
  <r>
    <x v="16"/>
    <s v="Modificación de altura de guia blanca en transporte de tarima"/>
    <s v="Correctivo"/>
    <x v="0"/>
    <x v="21"/>
    <m/>
    <n v="3"/>
    <s v="Lainas de acero inox, pulidora, aparato de soldar"/>
    <x v="12"/>
    <m/>
    <s v="Se colocaron alzas para subir guias de transporte de palet, se ancló tope de palet en sector terminal de carga, se probó palet 150 y no dio problema"/>
    <x v="0"/>
  </r>
  <r>
    <x v="11"/>
    <s v="Montaje de nuevo soporte para sensor de Videojet"/>
    <s v="Correctivo"/>
    <x v="0"/>
    <x v="3"/>
    <m/>
    <n v="3"/>
    <s v="Pulidora, broca, perneria, sensor"/>
    <x v="12"/>
    <m/>
    <s v="Se fabricaron nuevas bases para soporte de sensor y se perforó agujero chino para tener mejor calibracion de sensores"/>
    <x v="0"/>
  </r>
  <r>
    <x v="11"/>
    <s v="Conexion de sensor FDC NPN"/>
    <s v="Correctivo"/>
    <x v="2"/>
    <x v="17"/>
    <m/>
    <n v="1"/>
    <s v="Cinta aislante, sensor NPN"/>
    <x v="12"/>
    <m/>
    <s v="Se dejó puesto sensor pero no se terminó por pruebas de etiquetadora ya quedo listo para ajustar altura"/>
    <x v="0"/>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3"/>
    <s v="Limpieza de tolva y carrilera de corona"/>
    <s v="Preventivo"/>
    <x v="1"/>
    <x v="13"/>
    <m/>
    <n v="1"/>
    <s v="Wipe, alcohol 70"/>
    <x v="12"/>
    <m/>
    <m/>
    <x v="1"/>
  </r>
  <r>
    <x v="5"/>
    <s v="Limpieza, lubricacion y re aprete de cadenas de rodillos en transportes de tarimas"/>
    <s v="Preventivo"/>
    <x v="1"/>
    <x v="6"/>
    <m/>
    <n v="1"/>
    <s v="Wipe, grasa para seguidores de leva"/>
    <x v="12"/>
    <m/>
    <s v="Se re apreto todos los pernos y se lubricó cadenas"/>
    <x v="0"/>
  </r>
  <r>
    <x v="7"/>
    <s v="Limpieza, lubricacion y re aprete de cadenas de rodillos en transportes de tarimas"/>
    <s v="Preventivo"/>
    <x v="1"/>
    <x v="27"/>
    <m/>
    <n v="1"/>
    <s v="Wipe, grasa para seguidores de leva"/>
    <x v="12"/>
    <m/>
    <s v="Se realizó lubricacion de cadenas de transporte de tarimas, tambien se lubrico los rodos de la mesa"/>
    <x v="0"/>
  </r>
  <r>
    <x v="5"/>
    <s v="Lubricación y reaprete de guías y rodillos seguidores de levas de cabezal"/>
    <s v="Preventivo"/>
    <x v="1"/>
    <x v="6"/>
    <m/>
    <n v="1"/>
    <s v="Wipe, grasa para seguidores de leva"/>
    <x v="12"/>
    <m/>
    <s v="No se realizo por falta de tiempo"/>
    <x v="1"/>
  </r>
  <r>
    <x v="7"/>
    <s v="Lubricación y reaprete de guías y rodillos seguidores de levas de cabezal"/>
    <s v="Preventivo"/>
    <x v="1"/>
    <x v="27"/>
    <m/>
    <n v="1"/>
    <s v="Wipe, grasa para seguidores de leva"/>
    <x v="12"/>
    <m/>
    <s v="Se hizo limpieza de grasa de cabezal de maquina y despues se volvio a engrasar correctamente, tambien se realizo un re apriete de tuercas de brazo desplazador"/>
    <x v="0"/>
  </r>
  <r>
    <x v="6"/>
    <s v="Lubricación y reaprete de guías y rodillos seguidores de levas de cabezal"/>
    <s v="Preventivo"/>
    <x v="1"/>
    <x v="8"/>
    <m/>
    <n v="1"/>
    <s v="Wipe, grasa para seguidores de leva"/>
    <x v="12"/>
    <m/>
    <s v="Se realizo re aprete y limpieza de grasa más lubricación de guias y rodillos"/>
    <x v="0"/>
  </r>
  <r>
    <x v="3"/>
    <s v="Lubricacion semanal de llenadora"/>
    <s v="Preventivo"/>
    <x v="1"/>
    <x v="13"/>
    <m/>
    <n v="1"/>
    <s v="Grasas Celerol, Wipe de tela"/>
    <x v="12"/>
    <m/>
    <m/>
    <x v="1"/>
  </r>
  <r>
    <x v="5"/>
    <s v="Aprete de prisioneros de las catarinas de ejes de elevación"/>
    <s v="Preventivo"/>
    <x v="1"/>
    <x v="6"/>
    <m/>
    <n v="1"/>
    <s v="Juego de llaves mixtas, juego de llaves Allen"/>
    <x v="12"/>
    <m/>
    <s v="no se realizo por falta de tiempo ya que se realizo aprete de pernos de rodillos de todas las mesas y de transporte de tarimas se lubricaron cadenas tambien y por la tarde se estuvo haciendo pruebas en la despalet de botellas"/>
    <x v="1"/>
  </r>
  <r>
    <x v="1"/>
    <s v="Aprete de prisioneros de las catarinas de ejes de elevación"/>
    <s v="Preventivo"/>
    <x v="1"/>
    <x v="8"/>
    <m/>
    <n v="1"/>
    <s v="Juego de llaves mixtas, juego de llaves Allen"/>
    <x v="12"/>
    <m/>
    <s v="Trabajo realizado"/>
    <x v="0"/>
  </r>
  <r>
    <x v="6"/>
    <s v="Aprete de prisioneros de las catarinas de ejes de elevación"/>
    <s v="Preventivo"/>
    <x v="1"/>
    <x v="8"/>
    <m/>
    <n v="1"/>
    <s v="Juego de llaves mixtas, juego de llaves Allen"/>
    <x v="12"/>
    <m/>
    <s v="Trabajo realizado"/>
    <x v="0"/>
  </r>
  <r>
    <x v="6"/>
    <s v="Montaje de enfiladores nuevos San Martin"/>
    <s v="Preventivo"/>
    <x v="0"/>
    <x v="21"/>
    <m/>
    <n v="3"/>
    <s v="Juego de llaves mixtas, lima plana, pulidora"/>
    <x v="12"/>
    <m/>
    <s v="Se apoyó a los compañeros operadores colocando los enfiladores nuevos se colocaron segun diagrama que nos proporcionó Luis Cabrera"/>
    <x v="0"/>
  </r>
  <r>
    <x v="2"/>
    <s v="Inspección de motor B23"/>
    <s v="Correctivo"/>
    <x v="0"/>
    <x v="21"/>
    <m/>
    <n v="4"/>
    <s v="Juego botador cilindrico, martillo de bola, juego de llaves mixtas"/>
    <x v="12"/>
    <m/>
    <s v="Se desmonto el motor para poder mover el eje ya que se habia desplazado un poco se apretaron los prisioneros ya que estaban flojos, colocando en su puesto el eje"/>
    <x v="0"/>
  </r>
  <r>
    <x v="7"/>
    <s v="Aprete de prisioneros de las catarinas de ejes de elevación"/>
    <s v="Correctivo"/>
    <x v="1"/>
    <x v="27"/>
    <m/>
    <n v="1"/>
    <s v="Llaves Allen, fijador de rosca, wipe "/>
    <x v="12"/>
    <m/>
    <s v="Se hizo un re aprete de tornillos y tuercas de prisioneros"/>
    <x v="0"/>
  </r>
  <r>
    <x v="18"/>
    <s v="Instalación de aclimatador nuevo en panel de potencia "/>
    <s v="Correctivo"/>
    <x v="2"/>
    <x v="26"/>
    <m/>
    <n v="1"/>
    <m/>
    <x v="13"/>
    <m/>
    <m/>
    <x v="1"/>
  </r>
  <r>
    <x v="11"/>
    <s v="Revisión de JOG de seguridad y sensor de enclavamiento de compuertas"/>
    <s v="Correctivo"/>
    <x v="2"/>
    <x v="28"/>
    <m/>
    <n v="3"/>
    <m/>
    <x v="14"/>
    <m/>
    <m/>
    <x v="1"/>
  </r>
  <r>
    <x v="2"/>
    <s v="Revisión de balancines en tramo H e I"/>
    <s v="Correctivo"/>
    <x v="0"/>
    <x v="3"/>
    <m/>
    <n v="4"/>
    <m/>
    <x v="14"/>
    <m/>
    <m/>
    <x v="1"/>
  </r>
  <r>
    <x v="4"/>
    <s v="Instalar tapadera de motor de bomba de lavadora de cajas"/>
    <s v="Correctivo"/>
    <x v="2"/>
    <x v="26"/>
    <m/>
    <n v="0.5"/>
    <m/>
    <x v="13"/>
    <m/>
    <m/>
    <x v="1"/>
  </r>
  <r>
    <x v="10"/>
    <s v="Soldar eslabones sueltos en malla de cama superior"/>
    <s v="Correctivo"/>
    <x v="0"/>
    <x v="21"/>
    <m/>
    <n v="6"/>
    <m/>
    <x v="15"/>
    <m/>
    <s v="Se realizo la soldadura de eslabones de malla, unicamente uno no se pudo rescatar por lo tanto se soldo directamente a la base del candado"/>
    <x v="0"/>
  </r>
  <r>
    <x v="2"/>
    <s v="Inspección de sprockets y re apriete de guías en tramo H "/>
    <s v="Correctivo"/>
    <x v="0"/>
    <x v="29"/>
    <m/>
    <n v="1"/>
    <m/>
    <x v="13"/>
    <m/>
    <m/>
    <x v="1"/>
  </r>
  <r>
    <x v="2"/>
    <s v="Colocar tapa en todas las canaletas de la línea"/>
    <s v="Correctivo"/>
    <x v="2"/>
    <x v="26"/>
    <m/>
    <n v="10.5"/>
    <m/>
    <x v="13"/>
    <m/>
    <m/>
    <x v="1"/>
  </r>
  <r>
    <x v="0"/>
    <s v="Inspección de nivel de aceite en cajas reductoras principales de máquina"/>
    <s v="Preventivo"/>
    <x v="0"/>
    <x v="29"/>
    <m/>
    <n v="3"/>
    <m/>
    <x v="14"/>
    <m/>
    <m/>
    <x v="1"/>
  </r>
  <r>
    <x v="0"/>
    <s v="Corte de guías de levas de descarga"/>
    <s v="Correctivo"/>
    <x v="0"/>
    <x v="29"/>
    <m/>
    <n v="0.25"/>
    <m/>
    <x v="13"/>
    <m/>
    <m/>
    <x v="1"/>
  </r>
  <r>
    <x v="2"/>
    <s v="Inspección de sprockets y re apriete de guías en tramo I"/>
    <s v="Correctivo"/>
    <x v="0"/>
    <x v="29"/>
    <m/>
    <n v="1"/>
    <m/>
    <x v="13"/>
    <m/>
    <m/>
    <x v="1"/>
  </r>
  <r>
    <x v="2"/>
    <s v="Inspección de nivel de aceite de motorreductores tramo A, C y D"/>
    <s v="Correctivo"/>
    <x v="0"/>
    <x v="29"/>
    <m/>
    <n v="3"/>
    <m/>
    <x v="13"/>
    <m/>
    <m/>
    <x v="1"/>
  </r>
  <r>
    <x v="0"/>
    <s v="Limpieza externa de bombas #1, #2 y #3 de tanques de soda"/>
    <s v="Correctivo"/>
    <x v="0"/>
    <x v="29"/>
    <m/>
    <n v="1.5"/>
    <m/>
    <x v="13"/>
    <m/>
    <m/>
    <x v="1"/>
  </r>
  <r>
    <x v="2"/>
    <s v="Inspección de nivel de aceite de motorreductores tramo F"/>
    <s v="Correctivo"/>
    <x v="0"/>
    <x v="29"/>
    <m/>
    <n v="1"/>
    <m/>
    <x v="13"/>
    <m/>
    <m/>
    <x v="1"/>
  </r>
  <r>
    <x v="2"/>
    <s v="Instalación de balancines en tramo de bajada de paster a entrada de ETQ"/>
    <s v="Correctivo"/>
    <x v="0"/>
    <x v="3"/>
    <m/>
    <n v="2"/>
    <m/>
    <x v="14"/>
    <m/>
    <m/>
    <x v="1"/>
  </r>
  <r>
    <x v="2"/>
    <s v="Inspección de cadena, sprockets, guías y balancines en tramo I y J"/>
    <s v="Correctivo"/>
    <x v="0"/>
    <x v="29"/>
    <m/>
    <n v="3"/>
    <m/>
    <x v="14"/>
    <m/>
    <m/>
    <x v="1"/>
  </r>
  <r>
    <x v="11"/>
    <s v="Instalación de conexión Tee en toma de agua "/>
    <s v="Correctivo"/>
    <x v="0"/>
    <x v="29"/>
    <m/>
    <n v="0.2"/>
    <m/>
    <x v="14"/>
    <m/>
    <m/>
    <x v="1"/>
  </r>
  <r>
    <x v="11"/>
    <s v="Instalación de flauta sopladora de collarín de Regia (Preguntar a Mario Escalante)"/>
    <s v="Correctivo"/>
    <x v="0"/>
    <x v="3"/>
    <m/>
    <n v="1"/>
    <m/>
    <x v="14"/>
    <m/>
    <m/>
    <x v="1"/>
  </r>
  <r>
    <x v="19"/>
    <s v="Cambiar manómetro de unidad de mantenimiento"/>
    <s v="Correctivo"/>
    <x v="0"/>
    <x v="29"/>
    <m/>
    <n v="0.15"/>
    <m/>
    <x v="14"/>
    <m/>
    <m/>
    <x v="1"/>
  </r>
  <r>
    <x v="0"/>
    <s v="Inspeccion de mallas extractoras de etiqueta "/>
    <s v="Preventivo"/>
    <x v="0"/>
    <x v="29"/>
    <m/>
    <n v="1"/>
    <m/>
    <x v="15"/>
    <m/>
    <s v="Se revisaron mallas de lavadora, tanque #1, #2 y #4 esta en buen estado, eslabones, malla, piñones y candados._x000a_Malla del tanque #3 necesita tensar por bolsa que se le hace, no se puede tensar porque el tensor ya topo y hay que cortar cadena para poder cortar, hacen falta candados"/>
    <x v="0"/>
  </r>
  <r>
    <x v="0"/>
    <s v="Cambio de guias de desliz de malla extractor #1"/>
    <s v="Correctivo"/>
    <x v="0"/>
    <x v="29"/>
    <m/>
    <n v="3"/>
    <m/>
    <x v="15"/>
    <m/>
    <s v="Quedará pendiente programación, necesario conseguir medio candados"/>
    <x v="1"/>
  </r>
  <r>
    <x v="5"/>
    <s v="Fabricación de tope de mesa de descarga (Preguntar a Erick Lopez)"/>
    <s v="Correctivo"/>
    <x v="0"/>
    <x v="29"/>
    <m/>
    <n v="2"/>
    <m/>
    <x v="15"/>
    <m/>
    <s v="Se fabricó tope para cajas, tambien hay bases para empernar ya queda instalado"/>
    <x v="0"/>
  </r>
  <r>
    <x v="2"/>
    <s v="Arreglar guía de baranda y soldar unión de baranda en entrada a pasteurizador en motor B26"/>
    <s v="Correctivo"/>
    <x v="0"/>
    <x v="3"/>
    <m/>
    <n v="2"/>
    <m/>
    <x v="15"/>
    <m/>
    <m/>
    <x v="1"/>
  </r>
  <r>
    <x v="2"/>
    <s v="Rectificar, colocar tapas y limpiar canaletas de línea vidrio"/>
    <s v="Correctivo"/>
    <x v="2"/>
    <x v="26"/>
    <m/>
    <n v="6"/>
    <m/>
    <x v="15"/>
    <m/>
    <m/>
    <x v="1"/>
  </r>
  <r>
    <x v="10"/>
    <s v="Colocar sensor nuevo en entrada a pasteurizador cama superior y verificar que no quede expuesto "/>
    <s v="Correctivo"/>
    <x v="2"/>
    <x v="22"/>
    <m/>
    <n v="1.5"/>
    <m/>
    <x v="15"/>
    <m/>
    <s v="Sensores se instalaron en la malla inferior, se les colocó silicon rojo a ambos, se cambiaron los sensores de la encajonadora para utilizarlos en el pasteurizador, se realizaron varias pruebas con diferentes sensores para ver si funcionaban. Ya no hay sensores de ese tipo para reemplazar"/>
    <x v="0"/>
  </r>
  <r>
    <x v="4"/>
    <s v="Inspección de estado de unidad de mantenimiento"/>
    <s v="Correctivo"/>
    <x v="2"/>
    <x v="22"/>
    <m/>
    <n v="1"/>
    <m/>
    <x v="15"/>
    <m/>
    <s v="La unidad se encontro en funcionamiento sin fugas"/>
    <x v="0"/>
  </r>
  <r>
    <x v="0"/>
    <s v="Limpieza de canaletas superior en lavadora de botellas"/>
    <s v="Correctivo"/>
    <x v="2"/>
    <x v="22"/>
    <m/>
    <n v="4"/>
    <m/>
    <x v="15"/>
    <m/>
    <m/>
    <x v="1"/>
  </r>
  <r>
    <x v="0"/>
    <s v="Colocar bulones a peines faltantes y montarlos en máquina"/>
    <s v="Correctivo"/>
    <x v="1"/>
    <x v="1"/>
    <m/>
    <n v="3"/>
    <m/>
    <x v="15"/>
    <m/>
    <s v="Que se programe el enderezado de los canastos que estan pandos para la instalación en la máquina"/>
    <x v="1"/>
  </r>
  <r>
    <x v="0"/>
    <s v="Realizar pruebas con enguiador de botellas en mesa de entrada"/>
    <s v="Correctivo"/>
    <x v="1"/>
    <x v="1"/>
    <m/>
    <n v="3"/>
    <m/>
    <x v="15"/>
    <m/>
    <s v="Se probo la mesa de carga con envase para hacerle las pruebas en enguiador de botellas de entrada LVB"/>
    <x v="1"/>
  </r>
  <r>
    <x v="5"/>
    <s v="Inspeccionar y re apretar prisioneros de catarinas de carro de elevación"/>
    <s v="Preventivo"/>
    <x v="1"/>
    <x v="6"/>
    <m/>
    <n v="2"/>
    <m/>
    <x v="15"/>
    <m/>
    <s v="Se revisaron prisioneros de catarinas de elevacion"/>
    <x v="0"/>
  </r>
  <r>
    <x v="8"/>
    <s v="Inspeccionar y re apretar prisioneros de catarinas de carro de elevación"/>
    <s v="Preventivo"/>
    <x v="1"/>
    <x v="30"/>
    <m/>
    <n v="2"/>
    <m/>
    <x v="15"/>
    <m/>
    <s v="Se verifico aprietes de prisioneros de caratina y se encontraron en buen estado"/>
    <x v="0"/>
  </r>
  <r>
    <x v="7"/>
    <s v="Inspeccionar y re apretar prisioneros de catarinas de carro de elevación"/>
    <s v="Preventivo"/>
    <x v="1"/>
    <x v="31"/>
    <m/>
    <n v="2"/>
    <m/>
    <x v="15"/>
    <m/>
    <m/>
    <x v="1"/>
  </r>
  <r>
    <x v="5"/>
    <s v="Engrase de seguidores de leva en carro de desplazamiento vertical y horizontal"/>
    <s v="Preventivo"/>
    <x v="1"/>
    <x v="6"/>
    <m/>
    <n v="1"/>
    <m/>
    <x v="15"/>
    <m/>
    <s v="Se realizo limpieza de despaletizadora de botellas de cabezal y de guias de estructura se utilizo espatula para remover grasa sucia y todo residuo que tenia despues se le aplico desengrasante y se limpio con wipe"/>
    <x v="0"/>
  </r>
  <r>
    <x v="8"/>
    <s v="Engrase de seguidores de leva en carro de desplazamiento vertical y horizontal"/>
    <s v="Preventivo"/>
    <x v="1"/>
    <x v="30"/>
    <m/>
    <n v="1"/>
    <m/>
    <x v="15"/>
    <m/>
    <s v="Se limpio con wipe y desengrasante toda las guias de cabezal de la despalet de botella con espatula se quito todos los excesos de grasa_x000a_Se lubrico cadenas de desplazamiento del cabezal y se verifico el apriete de prisioneros de catarina"/>
    <x v="0"/>
  </r>
  <r>
    <x v="7"/>
    <s v="Engrase de seguidores de leva en carro de desplazamiento vertical y horizontal"/>
    <s v="Preventivo"/>
    <x v="1"/>
    <x v="31"/>
    <m/>
    <n v="1"/>
    <m/>
    <x v="15"/>
    <m/>
    <m/>
    <x v="1"/>
  </r>
  <r>
    <x v="6"/>
    <s v="Engrase de seguidores de leva en carro de desplazamiento vertical y horizontal"/>
    <s v="Preventivo"/>
    <x v="1"/>
    <x v="25"/>
    <m/>
    <n v="1"/>
    <m/>
    <x v="15"/>
    <m/>
    <s v="Se realizo cambio en desenca de grasa mala por grasa buena, se lubricaron y se apretaron pernos para una mayor seguridad en la hora de operar la máquina"/>
    <x v="0"/>
  </r>
  <r>
    <x v="20"/>
    <s v="Engrase de seguidores de leva en carro de desplazamiento vertical y horizontal"/>
    <s v="Preventivo"/>
    <x v="1"/>
    <x v="25"/>
    <m/>
    <n v="1"/>
    <m/>
    <x v="15"/>
    <m/>
    <s v="Se realizo cambio de grasa mala por grasa buena y se realizo limpieza de vidrio quebrado que se encontraba debajo de la maquina y se apretaron pernos para mayor seguridad para el operador"/>
    <x v="0"/>
  </r>
  <r>
    <x v="6"/>
    <s v="Re apriete de pernos de cabezal de tulipas"/>
    <s v="Preventivo"/>
    <x v="1"/>
    <x v="9"/>
    <m/>
    <n v="1"/>
    <m/>
    <x v="15"/>
    <m/>
    <s v="Se realizo cambio de desenca de 750 a 330 se repararon fugas en cabezales de bastagos quebrados pernos de sujeción quebrados"/>
    <x v="0"/>
  </r>
  <r>
    <x v="20"/>
    <s v="Re apriete de pernos de cabezal de tulipas"/>
    <s v="Preventivo"/>
    <x v="1"/>
    <x v="9"/>
    <m/>
    <n v="1"/>
    <m/>
    <x v="15"/>
    <m/>
    <s v="Se realizo reparación de fugas de vastagos y pernos de sujeción quebrados se repararon mangueras de aire cortadas y se completaron cabezales desarmados"/>
    <x v="0"/>
  </r>
  <r>
    <x v="3"/>
    <s v="Lubricacion semanal de llenadora"/>
    <s v="Preventivo"/>
    <x v="1"/>
    <x v="32"/>
    <m/>
    <n v="1"/>
    <m/>
    <x v="15"/>
    <m/>
    <s v="Orden realizada"/>
    <x v="0"/>
  </r>
  <r>
    <x v="3"/>
    <s v="Overhaul a pistones elevadores estacion de llenado 1 - 5"/>
    <s v="Preventivo"/>
    <x v="1"/>
    <x v="32"/>
    <m/>
    <n v="4"/>
    <m/>
    <x v="15"/>
    <m/>
    <s v="Se debe de reprogramar"/>
    <x v="1"/>
  </r>
  <r>
    <x v="3"/>
    <s v="Revisión de alimentacion y estado de electrovalvula de paso de agua de pinzas de rinser"/>
    <s v="Correctivo"/>
    <x v="2"/>
    <x v="0"/>
    <m/>
    <n v="3"/>
    <s v="Modulo de valvulas neumaticas AS-i"/>
    <x v="16"/>
    <m/>
    <m/>
    <x v="0"/>
  </r>
  <r>
    <x v="0"/>
    <s v="Enderezado de canastos faltantes en lavadora y montar en máquina"/>
    <s v="Correctivo"/>
    <x v="1"/>
    <x v="11"/>
    <m/>
    <n v="6"/>
    <s v="Bulones M12"/>
    <x v="17"/>
    <m/>
    <s v="Se realizó enderezado de peines que se encontraba desalineado ademas se cambiaron espárragos que se encontraron con desgaste lo que provocaba que los canastos se desalinearan por lo cual se pandean se trabajaron 12 canastos "/>
    <x v="3"/>
  </r>
  <r>
    <x v="2"/>
    <s v="Cambio de retenedores para motores B05, B09, B10, B44, C09, C17 y C18"/>
    <s v="Correctivo"/>
    <x v="0"/>
    <x v="29"/>
    <m/>
    <n v="6"/>
    <s v="Retenedores 45x75x8"/>
    <x v="17"/>
    <m/>
    <s v="No se realizó por falta de repuestos"/>
    <x v="1"/>
  </r>
  <r>
    <x v="2"/>
    <s v="Cambio de aceite general de motorreductores de transporte de botellas"/>
    <s v="Correctivo"/>
    <x v="0"/>
    <x v="29"/>
    <m/>
    <n v="6"/>
    <s v="Aceite Mobil 220"/>
    <x v="17"/>
    <m/>
    <m/>
    <x v="1"/>
  </r>
  <r>
    <x v="10"/>
    <s v="Inspeccion de tuberías, empaques de juntas y duchas de tanque #5"/>
    <s v="Correctivo"/>
    <x v="0"/>
    <x v="0"/>
    <m/>
    <n v="5"/>
    <m/>
    <x v="16"/>
    <m/>
    <m/>
    <x v="0"/>
  </r>
  <r>
    <x v="10"/>
    <s v="Modificación de guía de entrada en pasteurizador por botellas caídas"/>
    <s v="Correctivo"/>
    <x v="0"/>
    <x v="0"/>
    <m/>
    <n v="3"/>
    <m/>
    <x v="17"/>
    <m/>
    <m/>
    <x v="1"/>
  </r>
  <r>
    <x v="21"/>
    <s v="Inspección de atascos de rodillos mesa de descarga"/>
    <s v="Correctivo"/>
    <x v="0"/>
    <x v="29"/>
    <m/>
    <n v="2"/>
    <m/>
    <x v="17"/>
    <m/>
    <m/>
    <x v="1"/>
  </r>
  <r>
    <x v="0"/>
    <s v="Colocación de punteras a canastos "/>
    <s v="Correctivo"/>
    <x v="1"/>
    <x v="11"/>
    <m/>
    <n v="4"/>
    <m/>
    <x v="17"/>
    <m/>
    <s v="No se puso ninguna puntera de los nuevos porque no son de las medidas adecuadas_x000a_Se fue extrayendo punteras de los peines que tenemos en mal estado para ir cubriendo el deficit "/>
    <x v="0"/>
  </r>
  <r>
    <x v="0"/>
    <s v="Revisión de válvulas mariposa de drenos LVB"/>
    <s v="Correctivo"/>
    <x v="0"/>
    <x v="29"/>
    <m/>
    <n v="1"/>
    <m/>
    <x v="17"/>
    <m/>
    <m/>
    <x v="1"/>
  </r>
  <r>
    <x v="3"/>
    <s v="Instalación de sensores de puerta AS-i"/>
    <s v="Correctivo"/>
    <x v="0"/>
    <x v="17"/>
    <m/>
    <s v="1.5"/>
    <m/>
    <x v="17"/>
    <m/>
    <s v="Se puso un sensor de la puerta entrada del rinser y se confirmo que quedara bien_x000a_Se intentó poner maestro AS-i pero no se pudo se intento con ayuda de Josue Sinergia y Carrillo pero queda pendiente_x000a_Queda pendiente poner las demas puertas por tema de ajuste en llenadora"/>
    <x v="0"/>
  </r>
  <r>
    <x v="11"/>
    <s v="Rebaje de borde de placa de protección de caja reductora de tornillo sinfin"/>
    <s v="Correctivo"/>
    <x v="0"/>
    <x v="16"/>
    <m/>
    <n v="1"/>
    <m/>
    <x v="17"/>
    <m/>
    <s v="Se realizó un desgaste tipo bisel a uno de los perfiles de la placa rectangular"/>
    <x v="0"/>
  </r>
  <r>
    <x v="3"/>
    <s v="Revisión de freno de motor elevador de carrusel superior de coronador"/>
    <s v="Correctivo"/>
    <x v="4"/>
    <x v="16"/>
    <m/>
    <n v="2"/>
    <m/>
    <x v="17"/>
    <m/>
    <m/>
    <x v="1"/>
  </r>
  <r>
    <x v="10"/>
    <s v="Revisión de ruedas de retorno en transporte de motor B25 y B26 "/>
    <s v="Correctivo"/>
    <x v="0"/>
    <x v="21"/>
    <m/>
    <n v="2"/>
    <m/>
    <x v="17"/>
    <m/>
    <m/>
    <x v="1"/>
  </r>
  <r>
    <x v="0"/>
    <s v="Revisión de sensor de nivel de tanques de lavadora de botella"/>
    <s v="Preventivo"/>
    <x v="2"/>
    <x v="22"/>
    <m/>
    <n v="2"/>
    <m/>
    <x v="17"/>
    <m/>
    <s v="Se cambió la posción de los cables de conexión de los sensores, actualmente los tanques estan llenos y se muestran como tal. Las borneras no estan dañadas y el cable se encuentra en buen estado."/>
    <x v="0"/>
  </r>
  <r>
    <x v="21"/>
    <s v="Limpieza y lubricación de cadena de rodillos de transporte de tarimas"/>
    <s v="Preventivo"/>
    <x v="1"/>
    <x v="6"/>
    <m/>
    <n v="2"/>
    <m/>
    <x v="17"/>
    <m/>
    <s v="* Se limpio el transporte de tarimas, se desengraso la cadena que arrastra los rodillos, ocupando desengrasante y wipe dejando limpio, luego se le aplicó lubricantes SLM2-5_x000a_* Se limpió guía de cabezal y se engrasó"/>
    <x v="0"/>
  </r>
  <r>
    <x v="21"/>
    <s v="Limpieza y lubricación de guías de deslizamiento de rodillos seguidores de leva de cabezal"/>
    <s v="Preventivo"/>
    <x v="1"/>
    <x v="6"/>
    <m/>
    <n v="2"/>
    <m/>
    <x v="17"/>
    <m/>
    <s v="Se quitó grasa vieja ocupando wipe, desengrasante y una espátula luego se aplicó grasa nueva y se lubricó guías de deslizamiento del cabezal"/>
    <x v="0"/>
  </r>
  <r>
    <x v="20"/>
    <s v="Limpieza y lubricación de guías de deslizamiento de rodillos seguidores de leva de cabezal"/>
    <s v="Preventivo"/>
    <x v="1"/>
    <x v="9"/>
    <m/>
    <n v="2"/>
    <m/>
    <x v="17"/>
    <m/>
    <m/>
    <x v="1"/>
  </r>
  <r>
    <x v="20"/>
    <s v="Revisión de fugas en cabezales de tulipas Regia 750ml"/>
    <s v="Preventivo"/>
    <x v="1"/>
    <x v="9"/>
    <m/>
    <n v="2"/>
    <m/>
    <x v="17"/>
    <m/>
    <m/>
    <x v="1"/>
  </r>
  <r>
    <x v="20"/>
    <s v="Apriete de tuercas de sujeción de vástagos en cabezales de Regia 750ml"/>
    <s v="Preventivo"/>
    <x v="1"/>
    <x v="9"/>
    <m/>
    <n v="2"/>
    <m/>
    <x v="17"/>
    <m/>
    <m/>
    <x v="1"/>
  </r>
  <r>
    <x v="20"/>
    <s v="Revisión de conectores de sensores y borneras en paneles Electricistas "/>
    <s v="Preventivo"/>
    <x v="2"/>
    <x v="22"/>
    <m/>
    <n v="1"/>
    <m/>
    <x v="17"/>
    <m/>
    <s v="Se realizo limpieza en paneles Electricistas de JB1 de cada tramo de transporte y sus sensores._x000a_Se utilizo limpiador de contacto"/>
    <x v="0"/>
  </r>
  <r>
    <x v="22"/>
    <s v="Limpieza de vidrios protectores, espejos de reflexión y poleas de correa"/>
    <s v="Preventivo"/>
    <x v="1"/>
    <x v="12"/>
    <m/>
    <n v="2"/>
    <m/>
    <x v="17"/>
    <m/>
    <s v="Se realizo inspeccion visual pero es necesario limpiarlo con paños de microfibra"/>
    <x v="0"/>
  </r>
  <r>
    <x v="22"/>
    <s v="Inspeccionar correas de transporte"/>
    <s v="Preventivo"/>
    <x v="1"/>
    <x v="12"/>
    <m/>
    <n v="2"/>
    <m/>
    <x v="17"/>
    <m/>
    <s v="Se desmontaron correas de estación de paso_x000a_Se lavaron con agua, desengrasante y cepillo para extraer la grasa y suciedad_x000a_Se secaron y luego se lubricaron con grasa krones 7007_x000a_Se montaron_x000a_Se revisaron y se observan en buen estado"/>
    <x v="0"/>
  </r>
  <r>
    <x v="22"/>
    <s v="Limpieza e inspección de sensores y conectores "/>
    <s v="Preventivo"/>
    <x v="2"/>
    <x v="17"/>
    <m/>
    <n v="1"/>
    <m/>
    <x v="17"/>
    <m/>
    <s v="Se realizo limpieza en paneles Electricistas de JB1 de cada transporte y sensores._x000a_Se utilizo limpiador de contacto"/>
    <x v="0"/>
  </r>
  <r>
    <x v="22"/>
    <s v="Inspeccionar el nivel de lubricante del engrasador"/>
    <s v="Preventivo"/>
    <x v="0"/>
    <x v="12"/>
    <m/>
    <s v="0.15"/>
    <m/>
    <x v="17"/>
    <m/>
    <s v="Se limpió y lubricó cadena principal de conjunto de accionamiento de fajas de estacion de paso"/>
    <x v="0"/>
  </r>
  <r>
    <x v="3"/>
    <s v="Lubricación de placa central de boquillas de engrase"/>
    <s v="Preventivo"/>
    <x v="1"/>
    <x v="2"/>
    <m/>
    <n v="4"/>
    <m/>
    <x v="17"/>
    <m/>
    <m/>
    <x v="1"/>
  </r>
  <r>
    <x v="3"/>
    <s v="Reemplazo de componentes de cilindros elevadores 1-5"/>
    <s v="Preventivo"/>
    <x v="1"/>
    <x v="2"/>
    <m/>
    <n v="6"/>
    <m/>
    <x v="17"/>
    <m/>
    <m/>
    <x v="1"/>
  </r>
  <r>
    <x v="10"/>
    <s v="Revisión de sensores de temperatura en tanques de calentamiento"/>
    <s v="Preventivo"/>
    <x v="2"/>
    <x v="22"/>
    <m/>
    <n v="1"/>
    <m/>
    <x v="17"/>
    <m/>
    <s v="Se revisa la resistencia de los sensores de temperatura, todos marcaron 112 ohm"/>
    <x v="0"/>
  </r>
  <r>
    <x v="10"/>
    <s v="Revisión de grasa en baleros principales de malla "/>
    <s v="Preventivo"/>
    <x v="0"/>
    <x v="21"/>
    <m/>
    <n v="1"/>
    <m/>
    <x v="17"/>
    <m/>
    <m/>
    <x v="1"/>
  </r>
  <r>
    <x v="10"/>
    <s v="Inspección de tuberías de lluvias"/>
    <s v="Preventivo"/>
    <x v="1"/>
    <x v="23"/>
    <m/>
    <n v="1"/>
    <m/>
    <x v="17"/>
    <m/>
    <s v="Se realizó inspección de tubería de tanque 5 y duchas por baja presión de agua encontrando que habia un trapo obstruido._x000a_Se ajustó transporte para Regia 750_x000a_Se lavaron los inyectores de la lavadora de cajas y se les dio mantenimiento a cada uno"/>
    <x v="0"/>
  </r>
  <r>
    <x v="11"/>
    <s v="Limpieza de almohadillas, cilindros de transferencia y tulipas de carrusel"/>
    <s v="Preventivo"/>
    <x v="1"/>
    <x v="20"/>
    <m/>
    <n v="2"/>
    <m/>
    <x v="17"/>
    <m/>
    <s v="Se realizo limpieza inspeccion y lubricacion a cilindros de transferencia, encontrando las esponjas con desgaste se procedió a realizar una capa con silicón rojo para alargar la vida util, se realizó lubricación de cilindro de transferencia hasta sacar grasa sucia, se lubricaron resortes de leva interna y resortes externos._x000a_Se realizo inspeccion a palpadores, encontrado palpadores de collarín rasgados de un mismo lado, se verificó que estuvieran pegados y queda pendiente pedir repuestos._x000a_Cepillos se encuenran en condiciones aceptables"/>
    <x v="0"/>
  </r>
  <r>
    <x v="11"/>
    <s v="Inspección de sistema de lubricación automatico "/>
    <s v="Preventivo"/>
    <x v="1"/>
    <x v="29"/>
    <m/>
    <n v="3"/>
    <m/>
    <x v="17"/>
    <m/>
    <m/>
    <x v="1"/>
  </r>
  <r>
    <x v="11"/>
    <s v="Lubricación de eje motriz de tornillo sinfin de entrada "/>
    <s v="Preventivo"/>
    <x v="1"/>
    <x v="33"/>
    <m/>
    <n v="3"/>
    <m/>
    <x v="17"/>
    <m/>
    <s v="Se desmontó tornillo sinfin._x000a_Se inspeccionó si presentaba daño el Nylon_x000a_Se lubrico Cardan manualmente con gracera debido a que maquina no hacia su ciclo automatizado de lubricación y engrase._x000a_Se limpio exceso de grasa vieja y se rellenó con grasa nueva._x000a_El trabao fue realizado bajo supervisión de Mario Escalante y también se encontro desgaste en manguito rotador de tornillo sinfin"/>
    <x v="0"/>
  </r>
  <r>
    <x v="6"/>
    <s v="Limpieza y lubricación de guías de deslizamiento de rodillos seguidores de leva de cabezal"/>
    <s v="Preventivo"/>
    <x v="1"/>
    <x v="9"/>
    <m/>
    <n v="2"/>
    <m/>
    <x v="17"/>
    <m/>
    <m/>
    <x v="1"/>
  </r>
  <r>
    <x v="6"/>
    <s v="Revisión de fugas en cabezales de tulipas Regia 750ml"/>
    <s v="Preventivo"/>
    <x v="1"/>
    <x v="9"/>
    <m/>
    <n v="2"/>
    <m/>
    <x v="17"/>
    <m/>
    <m/>
    <x v="1"/>
  </r>
  <r>
    <x v="6"/>
    <s v="Apriete de tuercas de sujeción de vástagos en cabezales de Regia 750ml"/>
    <s v="Preventivo"/>
    <x v="1"/>
    <x v="9"/>
    <m/>
    <n v="2"/>
    <m/>
    <x v="17"/>
    <m/>
    <m/>
    <x v="1"/>
  </r>
  <r>
    <x v="6"/>
    <s v="Revisión de conectores de sensores y borneras en paneles Electricistas "/>
    <s v="Preventivo"/>
    <x v="2"/>
    <x v="22"/>
    <m/>
    <n v="1"/>
    <m/>
    <x v="17"/>
    <m/>
    <s v="Se revisaron sensores de la empacadora, los sensores estan en funcionamiento, solamente un sensor de posición de pistón no funciona y se encuentra puenteado, el piston es del centrador de cajas."/>
    <x v="0"/>
  </r>
  <r>
    <x v="19"/>
    <s v="Limpieza y lubricación de cadena de rodillos de transporte de tarimas"/>
    <s v="Preventivo"/>
    <x v="1"/>
    <x v="34"/>
    <m/>
    <n v="2"/>
    <m/>
    <x v="17"/>
    <m/>
    <s v="Se limpio cadenas de transporte con brocha y desengrasante, se engraso y se verifico que los piñones estuvieran alineado con las cadenas."/>
    <x v="0"/>
  </r>
  <r>
    <x v="19"/>
    <s v="Limpieza y lubricación de guías de deslizamiento de rodillos seguidores de leva de cabezal"/>
    <s v="Preventivo"/>
    <x v="1"/>
    <x v="34"/>
    <m/>
    <n v="2"/>
    <m/>
    <x v="17"/>
    <m/>
    <s v="Se removió la grasa en mal estado con espatula y wipe luego se engrasó de nuevo_x000a_Se lavo las cadenas internas del cabezal con broca y desengrasante para posteriormente engrasar de nuevo"/>
    <x v="0"/>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2"/>
    <s v="Inspeccion de balancines y transportadores tramo despalet botella - EBI"/>
    <s v="Preventivo"/>
    <x v="0"/>
    <x v="21"/>
    <m/>
    <n v="3"/>
    <m/>
    <x v="18"/>
    <m/>
    <m/>
    <x v="1"/>
  </r>
  <r>
    <x v="2"/>
    <s v="Inspeccion de balancines y transportadores tramo de EBI - PTZ"/>
    <s v="Preventivo"/>
    <x v="0"/>
    <x v="21"/>
    <m/>
    <n v="3"/>
    <m/>
    <x v="18"/>
    <m/>
    <m/>
    <x v="1"/>
  </r>
  <r>
    <x v="0"/>
    <s v="Enderezado de 32 canastos torcidos y cambio de espárragos"/>
    <s v="Correctivo"/>
    <x v="1"/>
    <x v="1"/>
    <m/>
    <n v="4"/>
    <m/>
    <x v="19"/>
    <s v="9 horas"/>
    <s v="Se realizo el enderezado de 23 cangilones y se inspeccionaron todos los de la maquina, solo queda pendiente punteras"/>
    <x v="3"/>
  </r>
  <r>
    <x v="0"/>
    <s v="Enderezar 6 canastos torcidos fuera de la máquina"/>
    <s v="Correctivo"/>
    <x v="0"/>
    <x v="35"/>
    <m/>
    <n v="8"/>
    <m/>
    <x v="20"/>
    <m/>
    <m/>
    <x v="1"/>
  </r>
  <r>
    <x v="11"/>
    <s v="Lubricación de eje excéntrico de tornillo sinfín"/>
    <s v="Preventivo"/>
    <x v="1"/>
    <x v="36"/>
    <m/>
    <n v="3"/>
    <m/>
    <x v="19"/>
    <s v="2 horas"/>
    <s v="Se realizo inspeccion y limpieza en eje motriz de tornillo sinfin y en eje de cardan encontrado en el eje de la salida de la etiquetadora exceso de moho, se limpio y lijo para lubricarlo y alargar la vida de este"/>
    <x v="0"/>
  </r>
  <r>
    <x v="11"/>
    <s v="Engrase de sistema de accionamiento principal"/>
    <s v="Preventivo"/>
    <x v="0"/>
    <x v="29"/>
    <m/>
    <n v="3"/>
    <m/>
    <x v="19"/>
    <m/>
    <m/>
    <x v="0"/>
  </r>
  <r>
    <x v="0"/>
    <s v="Soldar plataforma de tanques de enjuague final"/>
    <s v="Correctivo"/>
    <x v="0"/>
    <x v="0"/>
    <m/>
    <n v="3"/>
    <m/>
    <x v="19"/>
    <m/>
    <m/>
    <x v="2"/>
  </r>
  <r>
    <x v="23"/>
    <s v="Colocar tuercas de seguridad a espárragos de marco centrador"/>
    <s v="Correctivo"/>
    <x v="1"/>
    <x v="0"/>
    <m/>
    <s v="0.25"/>
    <m/>
    <x v="19"/>
    <m/>
    <s v="No se realizo porque se necesitan tuercas M12 paso 1.25"/>
    <x v="1"/>
  </r>
  <r>
    <x v="24"/>
    <s v="Colocar tuercas de seguridad a espárragos de marco centrador"/>
    <s v="Correctivo"/>
    <x v="1"/>
    <x v="0"/>
    <m/>
    <s v="0.25"/>
    <m/>
    <x v="19"/>
    <m/>
    <s v="No se realizo porque se necesitan tuercas M12 paso 1.25"/>
    <x v="1"/>
  </r>
  <r>
    <x v="24"/>
    <s v="Anclar guarda de seguridad perimetral"/>
    <s v="Correctivo"/>
    <x v="0"/>
    <x v="0"/>
    <m/>
    <n v="2"/>
    <m/>
    <x v="19"/>
    <m/>
    <m/>
    <x v="3"/>
  </r>
  <r>
    <x v="0"/>
    <s v="Inspeccionar válvula de vaciado de tanque de soda"/>
    <s v="Correctivo"/>
    <x v="1"/>
    <x v="0"/>
    <m/>
    <m/>
    <m/>
    <x v="19"/>
    <m/>
    <m/>
    <x v="2"/>
  </r>
  <r>
    <x v="2"/>
    <s v="Revisar tramo de rechazo por qué no se puede ajustar"/>
    <s v="Correctivo"/>
    <x v="0"/>
    <x v="0"/>
    <m/>
    <m/>
    <m/>
    <x v="19"/>
    <m/>
    <m/>
    <x v="2"/>
  </r>
  <r>
    <x v="11"/>
    <s v="AGUJERO PASADO A TORNILLO SINFIN PARA APRETAR MANGUITO 750"/>
    <s v="Preventivo"/>
    <x v="5"/>
    <x v="0"/>
    <m/>
    <m/>
    <m/>
    <x v="20"/>
    <m/>
    <m/>
    <x v="2"/>
  </r>
  <r>
    <x v="25"/>
    <s v="LIMPIEZA Y LUBRICACIÓN GUIAS DE SEGUIDOR LEVA CABEZAL"/>
    <s v="Preventivo"/>
    <x v="1"/>
    <x v="0"/>
    <m/>
    <n v="2"/>
    <m/>
    <x v="19"/>
    <m/>
    <s v="Reprogramado"/>
    <x v="1"/>
  </r>
  <r>
    <x v="25"/>
    <s v="LIMPIEZA Y LUBRICACIÓN DE RODILLOS TRANSP TARIMAS"/>
    <s v="Preventivo"/>
    <x v="1"/>
    <x v="0"/>
    <m/>
    <n v="2"/>
    <m/>
    <x v="19"/>
    <m/>
    <s v="Reprogramado"/>
    <x v="1"/>
  </r>
  <r>
    <x v="25"/>
    <s v="INSPECCION SISTEMA NEUMATICO CABEZAL"/>
    <s v="Preventivo"/>
    <x v="6"/>
    <x v="0"/>
    <m/>
    <n v="2"/>
    <m/>
    <x v="19"/>
    <s v="1.5 horas"/>
    <s v="Se encontro fuga en el racor de uno de los cilindros y se realizo el cambio correspondiente, también se re apretó silenciador"/>
    <x v="0"/>
  </r>
  <r>
    <x v="26"/>
    <s v="LIMPIEZA Y LUBRICACIÓN GUIAS DE SEGUIDOR LEVA CABEZAL"/>
    <s v="Preventivo"/>
    <x v="1"/>
    <x v="0"/>
    <m/>
    <n v="2"/>
    <m/>
    <x v="19"/>
    <m/>
    <s v="Reprogramado"/>
    <x v="1"/>
  </r>
  <r>
    <x v="26"/>
    <s v="LIMPIEZA Y LUBRICACIÓN DE RODILLOS TRANSP TARIMAS"/>
    <s v="Preventivo"/>
    <x v="1"/>
    <x v="0"/>
    <m/>
    <n v="2"/>
    <m/>
    <x v="19"/>
    <m/>
    <s v="Reprogramado"/>
    <x v="1"/>
  </r>
  <r>
    <x v="26"/>
    <s v="INSPECCION SISTEMA NEUMATICO CABEZAL"/>
    <s v="Preventivo"/>
    <x v="6"/>
    <x v="0"/>
    <m/>
    <n v="2"/>
    <m/>
    <x v="19"/>
    <s v="1 hora"/>
    <s v="Se re apretaron racores de cilindro del centrador de despalet de botellas y se les coloco teflon"/>
    <x v="0"/>
  </r>
  <r>
    <x v="19"/>
    <s v="LIMPIEZA Y LUBRICACIÓN GUIAS DE SEGUIDOR LEVA CABEZAL"/>
    <s v="Preventivo"/>
    <x v="1"/>
    <x v="0"/>
    <m/>
    <n v="2"/>
    <m/>
    <x v="19"/>
    <m/>
    <m/>
    <x v="0"/>
  </r>
  <r>
    <x v="19"/>
    <s v="LIMPIEZA Y LUBRICACIÓN DE RODILLOS TRANSP TARIMAS"/>
    <s v="Preventivo"/>
    <x v="1"/>
    <x v="0"/>
    <m/>
    <n v="2"/>
    <m/>
    <x v="19"/>
    <m/>
    <s v="Se hizo ajuste a transporte de tarima y se limpio"/>
    <x v="0"/>
  </r>
  <r>
    <x v="19"/>
    <s v="INSPECCION SISTEMA NEUMATICO EMPUJADOR DE CAJAS Y TOPES"/>
    <s v="Preventivo"/>
    <x v="6"/>
    <x v="0"/>
    <m/>
    <n v="2"/>
    <m/>
    <x v="19"/>
    <s v="1 hora"/>
    <s v="Se cambio racor de cilindro del empujador porque presentaba fugas y se realizo re aprete del otro racor"/>
    <x v="0"/>
  </r>
  <r>
    <x v="27"/>
    <m/>
    <m/>
    <x v="3"/>
    <x v="0"/>
    <m/>
    <m/>
    <m/>
    <x v="10"/>
    <m/>
    <m/>
    <x v="2"/>
  </r>
  <r>
    <x v="27"/>
    <m/>
    <m/>
    <x v="3"/>
    <x v="0"/>
    <m/>
    <m/>
    <m/>
    <x v="10"/>
    <m/>
    <m/>
    <x v="2"/>
  </r>
  <r>
    <x v="27"/>
    <m/>
    <m/>
    <x v="3"/>
    <x v="0"/>
    <m/>
    <m/>
    <m/>
    <x v="10"/>
    <m/>
    <m/>
    <x v="2"/>
  </r>
  <r>
    <x v="24"/>
    <s v="Revisión de fugas en cabezales de tulipas Suprema 330ml"/>
    <s v="Preventivo"/>
    <x v="1"/>
    <x v="0"/>
    <m/>
    <n v="1"/>
    <m/>
    <x v="19"/>
    <s v="5 horas"/>
    <m/>
    <x v="0"/>
  </r>
  <r>
    <x v="24"/>
    <s v="Apriete de tuercas de sujeción de vástagos en cabezales de Suprema 330ml"/>
    <s v="Preventivo"/>
    <x v="1"/>
    <x v="0"/>
    <m/>
    <n v="1"/>
    <m/>
    <x v="19"/>
    <s v="2 horas"/>
    <m/>
    <x v="0"/>
  </r>
  <r>
    <x v="24"/>
    <s v="INSPECCION SISTEMA NEUMATICO CABEZAL"/>
    <s v="Preventivo"/>
    <x v="6"/>
    <x v="0"/>
    <m/>
    <n v="2"/>
    <m/>
    <x v="19"/>
    <s v="1 hora"/>
    <s v="Se re apretó mangueras de cada uno y los de tope de entrada y salida de caja estaban flojos y quedaron ajustados"/>
    <x v="0"/>
  </r>
  <r>
    <x v="24"/>
    <s v="Limpieza y lubricación de guías de deslizamiento de rodillos seguidores de leva de cabezal"/>
    <s v="Preventivo"/>
    <x v="1"/>
    <x v="0"/>
    <m/>
    <n v="2"/>
    <m/>
    <x v="19"/>
    <s v="2 horas"/>
    <m/>
    <x v="0"/>
  </r>
  <r>
    <x v="23"/>
    <s v="Revisión de fugas en cabezales de tulipas Suprema 330ml"/>
    <s v="Preventivo"/>
    <x v="1"/>
    <x v="0"/>
    <m/>
    <n v="1"/>
    <m/>
    <x v="19"/>
    <s v="4 horas"/>
    <m/>
    <x v="0"/>
  </r>
  <r>
    <x v="23"/>
    <s v="Apriete de tuercas de sujeción de vástagos en cabezales de Suprema 330ml"/>
    <s v="Preventivo"/>
    <x v="1"/>
    <x v="0"/>
    <m/>
    <n v="1"/>
    <m/>
    <x v="19"/>
    <s v="2 horas"/>
    <m/>
    <x v="0"/>
  </r>
  <r>
    <x v="23"/>
    <s v="INSPECCION SISTEMA NEUMATICO CABEZAL"/>
    <s v="Preventivo"/>
    <x v="6"/>
    <x v="0"/>
    <m/>
    <n v="2"/>
    <m/>
    <x v="19"/>
    <s v="1 hora"/>
    <s v="Se utilizó teflon para tapar fugas en conectores de pistones de cabezales y se apreto mangueras ya que tenian fuga quedo completo"/>
    <x v="0"/>
  </r>
  <r>
    <x v="23"/>
    <s v="Limpieza y lubricación de guías de deslizamiento de rodillos seguidores de leva de cabezal"/>
    <s v="Preventivo"/>
    <x v="1"/>
    <x v="0"/>
    <m/>
    <n v="2"/>
    <m/>
    <x v="19"/>
    <s v="2 horas"/>
    <m/>
    <x v="0"/>
  </r>
  <r>
    <x v="22"/>
    <s v="Limpieza de vidrios protectores, espejos de reflexión y poleas de correa"/>
    <s v="Preventivo"/>
    <x v="1"/>
    <x v="0"/>
    <m/>
    <s v="0.5"/>
    <m/>
    <x v="19"/>
    <s v="1.3 horas"/>
    <s v="Se limpió cuidadosamente todos los espejos y camaras con toalla de microfibra"/>
    <x v="0"/>
  </r>
  <r>
    <x v="22"/>
    <s v="Inspeccionar correas de transporte"/>
    <s v="Preventivo"/>
    <x v="1"/>
    <x v="0"/>
    <m/>
    <n v="2"/>
    <m/>
    <x v="19"/>
    <s v="3 horas"/>
    <s v="Se lavaron las correas de estacion de paso con cepillo y desengrasante para quitar el exceso de grasa"/>
    <x v="0"/>
  </r>
  <r>
    <x v="22"/>
    <s v="INSPECCION SISTEMA NEUMATICO "/>
    <s v="Preventivo"/>
    <x v="6"/>
    <x v="0"/>
    <m/>
    <n v="2"/>
    <m/>
    <x v="19"/>
    <s v="1 hora"/>
    <s v="Se limpio con desengrasante cada una y se vieron mangueras y se encuentran en buen estado"/>
    <x v="0"/>
  </r>
  <r>
    <x v="22"/>
    <s v="LIMPIEZA Y LUBRICACION SISTEMA DE ACC"/>
    <s v="Preventivo"/>
    <x v="1"/>
    <x v="0"/>
    <m/>
    <n v="1"/>
    <m/>
    <x v="19"/>
    <s v="2 horas"/>
    <s v="Se limpio y lubrico cadena principal, se limpio toda la superficie exterior con Ecoshine y usando lija 1000 para remover el exceso de oxido, se limpio desde el inspector hacia llenadora y parte superior de transporte"/>
    <x v="0"/>
  </r>
  <r>
    <x v="3"/>
    <s v="Revisión freno motor cabezal coronador"/>
    <s v="Correctivo"/>
    <x v="6"/>
    <x v="0"/>
    <m/>
    <n v="4"/>
    <m/>
    <x v="19"/>
    <s v="4 horas"/>
    <s v="Se rearmó el feno ya que se le habia quitado un componente, se calibro y se probó queda funcionando correctamente, todos los componentes electricos se encuentran en buen estado"/>
    <x v="0"/>
  </r>
  <r>
    <x v="3"/>
    <s v="Lubricación quincenal "/>
    <s v="Preventivo"/>
    <x v="1"/>
    <x v="0"/>
    <m/>
    <n v="6"/>
    <m/>
    <x v="19"/>
    <m/>
    <m/>
    <x v="1"/>
  </r>
  <r>
    <x v="3"/>
    <s v="Mantenimiento cilindros elevadores 1-5"/>
    <s v="Correctivo"/>
    <x v="0"/>
    <x v="0"/>
    <m/>
    <n v="6"/>
    <m/>
    <x v="19"/>
    <s v="7 horas"/>
    <s v="Se bajaron los pistones del 3 al 7 ya que las placas no permiten llevar un orden en especifico se necesita cambiar todos los pernos de sujeción de los pistones son dos por pistón"/>
    <x v="0"/>
  </r>
  <r>
    <x v="10"/>
    <s v="Limpieza de transporte salida de PAST a SECADOR"/>
    <s v="Preventivo"/>
    <x v="1"/>
    <x v="0"/>
    <m/>
    <n v="6"/>
    <m/>
    <x v="19"/>
    <s v="5.5 horas"/>
    <s v="Se quitaron todas las cadenas y se lavo todo lo que es el transporte guias y cadenas_x000a_Se limpio transporte con espuma"/>
    <x v="0"/>
  </r>
  <r>
    <x v="10"/>
    <s v="Inspección malla superior e inferior"/>
    <s v="Preventivo"/>
    <x v="1"/>
    <x v="0"/>
    <m/>
    <n v="2"/>
    <m/>
    <x v="19"/>
    <m/>
    <m/>
    <x v="1"/>
  </r>
  <r>
    <x v="4"/>
    <s v="Limpieza de JETS de lavado"/>
    <s v="Preventivo"/>
    <x v="1"/>
    <x v="0"/>
    <m/>
    <n v="2"/>
    <m/>
    <x v="19"/>
    <s v="2 horas"/>
    <s v="Se revisaron los jets para ver si no estaban tapados, se lavo tanques de los filtros y se limpiaron canaletas de la lavadora de cajas"/>
    <x v="0"/>
  </r>
  <r>
    <x v="4"/>
    <s v="Limpieza interna de lavadora"/>
    <s v="Preventivo"/>
    <x v="1"/>
    <x v="0"/>
    <m/>
    <n v="2"/>
    <m/>
    <x v="19"/>
    <s v="2 horas"/>
    <s v="Se lavaron los 2 tanques principales de la lavadora de cajas"/>
    <x v="0"/>
  </r>
  <r>
    <x v="11"/>
    <s v="Limpieza de almohadillas, cilindros de transferencia y tulipas de carrusel"/>
    <s v="Preventivo"/>
    <x v="1"/>
    <x v="0"/>
    <m/>
    <n v="2"/>
    <m/>
    <x v="19"/>
    <s v="3 horas"/>
    <s v="Se realizo limpieza a tulipas suprema, limpieza a cilindro de transferencia, se lubrico y engraso cilindros"/>
    <x v="0"/>
  </r>
  <r>
    <x v="11"/>
    <s v="Colocar pin roll a guias de gaviotas para formato 330"/>
    <s v="Preventivo"/>
    <x v="0"/>
    <x v="0"/>
    <m/>
    <n v="1"/>
    <m/>
    <x v="19"/>
    <m/>
    <m/>
    <x v="0"/>
  </r>
  <r>
    <x v="10"/>
    <s v="Mantenimiento a guias laterales de barandas tramo salida PAST a SECADOR"/>
    <s v="Correctivo"/>
    <x v="1"/>
    <x v="0"/>
    <m/>
    <n v="2"/>
    <m/>
    <x v="19"/>
    <s v="0.5 horas"/>
    <s v="Se coloco guia lateral del transporte de la salida del paster"/>
    <x v="0"/>
  </r>
  <r>
    <x v="0"/>
    <s v="Instalar valvula de corte a filtro de tanque 3"/>
    <s v="Correctivo"/>
    <x v="7"/>
    <x v="0"/>
    <m/>
    <n v="8"/>
    <m/>
    <x v="10"/>
    <m/>
    <m/>
    <x v="1"/>
  </r>
  <r>
    <x v="24"/>
    <s v="Revisión de fugas en cabezales de tulipas Suprema 330ml"/>
    <s v="Preventivo"/>
    <x v="1"/>
    <x v="0"/>
    <m/>
    <n v="2"/>
    <m/>
    <x v="21"/>
    <n v="1"/>
    <s v="Se detectaron fugas y se repararon dejando lista para trabajar"/>
    <x v="0"/>
  </r>
  <r>
    <x v="24"/>
    <s v="Apriete de tuercas y prisionero de brazo de traslacion y seguidor de leva de cabezal de elevacion"/>
    <s v="Preventivo"/>
    <x v="1"/>
    <x v="0"/>
    <m/>
    <n v="2"/>
    <m/>
    <x v="21"/>
    <n v="1"/>
    <s v="Se reapretaron todas las tuercas"/>
    <x v="0"/>
  </r>
  <r>
    <x v="24"/>
    <s v="Limpieza y lubricación de guías de deslizamiento de rodillos seguidores de leva de cabezal"/>
    <s v="Preventivo"/>
    <x v="1"/>
    <x v="0"/>
    <m/>
    <n v="2"/>
    <m/>
    <x v="21"/>
    <n v="1"/>
    <s v="Se limpio grasa mala y se lubrico con grasa buena"/>
    <x v="0"/>
  </r>
  <r>
    <x v="24"/>
    <s v="REVISION DE NIVEL DE ACEITE DE MOTORREDUCTOR DE CABEZAL DE ELEVACION"/>
    <s v="Correctivo"/>
    <x v="0"/>
    <x v="0"/>
    <m/>
    <n v="3"/>
    <m/>
    <x v="21"/>
    <n v="2"/>
    <s v="Se les cargó aceite, no tienen fuga"/>
    <x v="0"/>
  </r>
  <r>
    <x v="25"/>
    <s v="LIMPIEZA Y LUBRICACIÓN GUIAS DE SEGUIDOR LEVA CABEZAL"/>
    <s v="Preventivo"/>
    <x v="1"/>
    <x v="0"/>
    <m/>
    <n v="2"/>
    <m/>
    <x v="21"/>
    <n v="2"/>
    <s v="Con la espatula se quito grasa sucia de guias de cabezal luego se le aplico grasa nueva"/>
    <x v="0"/>
  </r>
  <r>
    <x v="25"/>
    <s v="LIMPIEZA Y LUBRICACIÓN DE RODILLOS TRANSP TARIMAS"/>
    <s v="Preventivo"/>
    <x v="1"/>
    <x v="0"/>
    <m/>
    <n v="2"/>
    <m/>
    <x v="21"/>
    <n v="2"/>
    <s v="Se limpió cadena de transporte luego se le aplico lubricación nueva y engrase a cabezal dejando todo en buenas condiciones"/>
    <x v="0"/>
  </r>
  <r>
    <x v="25"/>
    <s v="RE APRETE DE PRISIONEROS DE CABEZAL DE ELEVACION"/>
    <s v="Preventivo"/>
    <x v="1"/>
    <x v="0"/>
    <m/>
    <n v="2"/>
    <m/>
    <x v="21"/>
    <n v="1"/>
    <s v="Se reviso aprete de tuercas, algunas se encontraron falta de aprete se les dio su aprete quedando todas en buen estado"/>
    <x v="0"/>
  </r>
  <r>
    <x v="25"/>
    <s v="Perforar agujeros chinos en soporte de motorreductor de traslación de cabezal hacia mesa de descarga "/>
    <s v="Correctivo"/>
    <x v="0"/>
    <x v="0"/>
    <m/>
    <n v="4"/>
    <m/>
    <x v="21"/>
    <m/>
    <s v="No se realizó por trabajos en cartonero en conjunto a SAn Martin, se reprogramara para 20/07/2026"/>
    <x v="4"/>
  </r>
  <r>
    <x v="26"/>
    <s v="LIMPIEZA Y LUBRICACIÓN GUIAS DE SEGUIDOR LEVA CABEZAL"/>
    <s v="Preventivo"/>
    <x v="1"/>
    <x v="0"/>
    <m/>
    <n v="2"/>
    <m/>
    <x v="21"/>
    <n v="2"/>
    <s v="Se limpio guias de cabezal con espatula se puso grasa nueva"/>
    <x v="0"/>
  </r>
  <r>
    <x v="26"/>
    <s v="LIMPIEZA Y LUBRICACIÓN DE RODILLOS TRANSP TARIMAS"/>
    <s v="Preventivo"/>
    <x v="1"/>
    <x v="0"/>
    <m/>
    <n v="2"/>
    <m/>
    <x v="21"/>
    <n v="2"/>
    <s v="Se limpio toda la grasa vieja con wipe de tela luego se puso grasa nueva"/>
    <x v="0"/>
  </r>
  <r>
    <x v="26"/>
    <s v="RE APRETE DE PRISIONEROS DE CABEZAL DE ELEVACION"/>
    <s v="Preventivo"/>
    <x v="1"/>
    <x v="37"/>
    <m/>
    <n v="2"/>
    <m/>
    <x v="21"/>
    <n v="1"/>
    <s v="Se revisó aprete de tuercas se encontro todo bien"/>
    <x v="0"/>
  </r>
  <r>
    <x v="23"/>
    <s v="Revisión de fugas en cabezales de tulipas Suprema 330ml"/>
    <s v="Preventivo"/>
    <x v="1"/>
    <x v="0"/>
    <m/>
    <n v="2"/>
    <m/>
    <x v="21"/>
    <n v="1"/>
    <s v="Se limpio la grasa en mal estado y se puso grasa en buen estado"/>
    <x v="0"/>
  </r>
  <r>
    <x v="23"/>
    <s v="Apriete de tuercas y prisionero de brazo de traslacion y seguir de leva de cabezal de elevacion"/>
    <s v="Preventivo"/>
    <x v="1"/>
    <x v="0"/>
    <m/>
    <n v="2"/>
    <m/>
    <x v="21"/>
    <n v="1"/>
    <s v="Se reapretaron todas tuercas para mayor seguridad"/>
    <x v="0"/>
  </r>
  <r>
    <x v="23"/>
    <s v="Limpieza y lubricación de guías de deslizamiento de rodillos seguidores de leva de cabezal"/>
    <s v="Preventivo"/>
    <x v="1"/>
    <x v="0"/>
    <m/>
    <n v="2"/>
    <m/>
    <x v="21"/>
    <n v="1"/>
    <s v="Se limpio la grasa en mal estado y se puso grasa en buen estado"/>
    <x v="0"/>
  </r>
  <r>
    <x v="23"/>
    <s v="REVISION DE NIVEL DE ACEITE DE MOTORREDUCTOR DE CABEZAL DE ELEVACION"/>
    <s v="Correctivo"/>
    <x v="0"/>
    <x v="0"/>
    <m/>
    <n v="3"/>
    <m/>
    <x v="21"/>
    <n v="2"/>
    <s v="Se cargó aceite, no presenta fuga"/>
    <x v="0"/>
  </r>
  <r>
    <x v="11"/>
    <s v="Engrase de sistema de accionamiento manual"/>
    <s v="Preventivo"/>
    <x v="0"/>
    <x v="0"/>
    <m/>
    <n v="5"/>
    <m/>
    <x v="21"/>
    <n v="4"/>
    <s v="Se lubrica pero solo se le aplica 1/2 libra de grasa eraa todo lo que habia en bodega del Celerol L7001"/>
    <x v="0"/>
  </r>
  <r>
    <x v="11"/>
    <s v="LIMPIEZA DE TRANSPORTE DE SALIDA DE ETIQUETADORA HASTA ENCAJONADORA"/>
    <s v="Preventivo"/>
    <x v="1"/>
    <x v="0"/>
    <m/>
    <n v="4"/>
    <m/>
    <x v="21"/>
    <n v="6"/>
    <s v="Se realizo desmontaje de cadenas transporte salida etiquetadora hasta entrada encajonadora, se realizo limpieza e inspeccion todo ok, se montaron cadena y se probo transporte"/>
    <x v="0"/>
  </r>
  <r>
    <x v="11"/>
    <s v="Revision de presión entre palpador y cilindro de goma "/>
    <s v="Preventivo"/>
    <x v="1"/>
    <x v="0"/>
    <m/>
    <n v="3"/>
    <m/>
    <x v="10"/>
    <m/>
    <s v="NO SE REALIZO POR FALTA DE TIEMPO, SE REPROGRAMARA 20/07/26"/>
    <x v="4"/>
  </r>
  <r>
    <x v="28"/>
    <s v="Inspeccion de conectores de sensores de maquina"/>
    <s v="Correctivo"/>
    <x v="6"/>
    <x v="0"/>
    <m/>
    <n v="2"/>
    <m/>
    <x v="21"/>
    <m/>
    <m/>
    <x v="0"/>
  </r>
  <r>
    <x v="22"/>
    <s v="Desmontaje de cadena y limpieza transporte de salida de inspector a entrada de llenadora"/>
    <s v="Preventivo"/>
    <x v="1"/>
    <x v="0"/>
    <m/>
    <n v="8"/>
    <m/>
    <x v="21"/>
    <n v="5"/>
    <s v="Se abrieron cadenas de salida de EBI hacia llenadora, se lavaron y revisaron guias laterales, piñones y eslabones de cadena de los cuales no se reportan daños._x000a_Se lavo canaleta en tramo de llenadora hacia desague_x000a_Se termino de limpiar exterior de maquina para eliminar oxido"/>
    <x v="0"/>
  </r>
  <r>
    <x v="0"/>
    <s v="Inspeccion de ruta electrica parado de sistema de carga y descarga"/>
    <s v="Preventivo"/>
    <x v="6"/>
    <x v="0"/>
    <m/>
    <n v="4"/>
    <m/>
    <x v="21"/>
    <m/>
    <s v="NO SE PUDO REALIZAR POR FUNCIONAMIENTO Y PRUEBAS DE MAQUINA, SE REPROGRAMARA PARA MTTO 20/07/26"/>
    <x v="4"/>
  </r>
  <r>
    <x v="0"/>
    <s v="Inspeccion de ruta electrica parado de panel de fuerza y control"/>
    <s v="Preventivo"/>
    <x v="6"/>
    <x v="0"/>
    <m/>
    <n v="4"/>
    <m/>
    <x v="21"/>
    <m/>
    <s v="NO SE PUDO REALIZAR POR FUNCIONAMIENTO Y PRUEBAS DE MAQUINA, SE REPROGRAMARA PARA MTTO 20/07/26"/>
    <x v="4"/>
  </r>
  <r>
    <x v="0"/>
    <s v="Inspeccion de ruta electrica detenido de extractor de etiqueta 1"/>
    <s v="Preventivo"/>
    <x v="6"/>
    <x v="0"/>
    <m/>
    <n v="2"/>
    <m/>
    <x v="21"/>
    <n v="2"/>
    <s v="Se utilizo megger para las respectivas revisiones"/>
    <x v="0"/>
  </r>
  <r>
    <x v="0"/>
    <s v="Inspeccion de ruta electrica detenido de extractor de etiqueta 2"/>
    <s v="Preventivo"/>
    <x v="6"/>
    <x v="0"/>
    <m/>
    <n v="2"/>
    <m/>
    <x v="21"/>
    <n v="2"/>
    <s v="Se utilizo megger para las respectivas revisiones"/>
    <x v="0"/>
  </r>
  <r>
    <x v="0"/>
    <s v="Inspeccion de ruta electrica detenido de extractor de etiqueta 3"/>
    <s v="Preventivo"/>
    <x v="6"/>
    <x v="0"/>
    <m/>
    <n v="2"/>
    <m/>
    <x v="21"/>
    <n v="2"/>
    <s v="Se utilizo tester de aislamiento"/>
    <x v="0"/>
  </r>
  <r>
    <x v="0"/>
    <s v="Inspeccion de ruta electrica detenido de extractor de etiqueta 4"/>
    <s v="Preventivo"/>
    <x v="6"/>
    <x v="0"/>
    <m/>
    <n v="2"/>
    <m/>
    <x v="21"/>
    <n v="2"/>
    <s v="Se utilizo tester de aislamiento"/>
    <x v="0"/>
  </r>
  <r>
    <x v="3"/>
    <s v="Lubricación quincenal "/>
    <s v="Preventivo"/>
    <x v="1"/>
    <x v="38"/>
    <m/>
    <n v="6"/>
    <m/>
    <x v="21"/>
    <n v="4"/>
    <s v="Orden realizada"/>
    <x v="0"/>
  </r>
  <r>
    <x v="3"/>
    <s v="Lubricación quincenal "/>
    <s v="Preventivo"/>
    <x v="1"/>
    <x v="0"/>
    <m/>
    <n v="12"/>
    <m/>
    <x v="21"/>
    <n v="4"/>
    <s v="Puntos de lubricación:_x000a_Distribuidor de gases_x000a_Distribuidor de cerveza_x000a_Distribuidor de rinser_x000a_Engrase de cardanes de tornillos sinfin entrada de rinser y entrada de llenadora_x000a_Limpieza carrilera y bajada de corona"/>
    <x v="0"/>
  </r>
  <r>
    <x v="3"/>
    <s v="Mantenimiento cilindros elevadores 25 al 30"/>
    <s v="Correctivo"/>
    <x v="0"/>
    <x v="0"/>
    <m/>
    <n v="12"/>
    <m/>
    <x v="21"/>
    <n v="12"/>
    <s v="Se revisaron pistones del #25 al #32 en total fueron 8 pistones revisados"/>
    <x v="0"/>
  </r>
  <r>
    <x v="25"/>
    <s v="Modificar sistema de ajuste de tensión de fajas de traslación del cabezal"/>
    <s v="Correctivo"/>
    <x v="0"/>
    <x v="0"/>
    <m/>
    <n v="4"/>
    <m/>
    <x v="10"/>
    <m/>
    <m/>
    <x v="1"/>
  </r>
  <r>
    <x v="3"/>
    <s v="Colocación de pin roll a guías plásticas de cuello de salida de coronador"/>
    <s v="Correctivo"/>
    <x v="0"/>
    <x v="0"/>
    <m/>
    <n v="2"/>
    <m/>
    <x v="21"/>
    <m/>
    <s v="No se realizó por trabajos en cartonero en conjunto a SAn Martin, se reprogramara para 20/07/2026"/>
    <x v="4"/>
  </r>
  <r>
    <x v="3"/>
    <s v="Instalación de relé bobina 230VAC para electrovalvula"/>
    <s v="Correctivo"/>
    <x v="6"/>
    <x v="0"/>
    <m/>
    <n v="1"/>
    <m/>
    <x v="21"/>
    <s v="1.5"/>
    <s v="Se instaló relé que fue proporcionado, se realizaron pruebas y queda funcionando bien"/>
    <x v="0"/>
  </r>
  <r>
    <x v="3"/>
    <s v="Inspección de guía L Clip transporte de entrada a carrusel de llenado"/>
    <s v="Correctivo"/>
    <x v="0"/>
    <x v="0"/>
    <m/>
    <n v="2"/>
    <m/>
    <x v="21"/>
    <m/>
    <m/>
    <x v="1"/>
  </r>
  <r>
    <x v="19"/>
    <s v="LIMPIEZA Y LUBRICACIÓN GUIAS DE SEGUIDOR LEVA CABEZAL"/>
    <s v="Preventivo"/>
    <x v="1"/>
    <x v="0"/>
    <m/>
    <n v="2"/>
    <m/>
    <x v="21"/>
    <n v="2"/>
    <s v="FINALIZADO"/>
    <x v="0"/>
  </r>
  <r>
    <x v="19"/>
    <s v="LIMPIEZA Y LUBRICACIÓN DE RODILLOS TRANSP TARIMAS"/>
    <s v="Preventivo"/>
    <x v="1"/>
    <x v="0"/>
    <m/>
    <n v="2"/>
    <m/>
    <x v="21"/>
    <n v="2"/>
    <s v="FINALIZADO"/>
    <x v="0"/>
  </r>
  <r>
    <x v="3"/>
    <s v="Revisión de guia L Clip en transporte de entrada a carrusel de llenado"/>
    <s v="Preventivo"/>
    <x v="3"/>
    <x v="0"/>
    <m/>
    <m/>
    <m/>
    <x v="10"/>
    <m/>
    <m/>
    <x v="2"/>
  </r>
  <r>
    <x v="19"/>
    <s v="RE APRETE DE PRISIONEROS DE CABEZAL DE ELEVACION"/>
    <s v="Preventivo"/>
    <x v="1"/>
    <x v="0"/>
    <m/>
    <n v="2"/>
    <m/>
    <x v="21"/>
    <n v="2"/>
    <s v="FINALIZADO"/>
    <x v="0"/>
  </r>
  <r>
    <x v="19"/>
    <s v="Limpieza, inspeccion y engrase de sistema de traccion mesa de carga de caja"/>
    <s v="Preventivo"/>
    <x v="0"/>
    <x v="0"/>
    <m/>
    <n v="2"/>
    <m/>
    <x v="21"/>
    <n v="4"/>
    <s v="Se encontró que la cadena estaba floja, se tensó nuevamente y se engrasó"/>
    <x v="0"/>
  </r>
  <r>
    <x v="10"/>
    <s v="Re aprete de pernos de balancines y enderezamiento transporte de salida pasteurizador"/>
    <s v="Correctivo"/>
    <x v="1"/>
    <x v="0"/>
    <m/>
    <n v="1"/>
    <m/>
    <x v="21"/>
    <m/>
    <s v="FINALIZADO"/>
    <x v="0"/>
  </r>
  <r>
    <x v="10"/>
    <s v="Desmontaje de cadena y limpieza transporte de salida de llenadora hasta motor B24"/>
    <s v="Preventivo"/>
    <x v="1"/>
    <x v="0"/>
    <m/>
    <n v="6"/>
    <m/>
    <x v="21"/>
    <m/>
    <m/>
    <x v="1"/>
  </r>
  <r>
    <x v="24"/>
    <s v="INSPECCION DE JB DE DESEMPACADORA"/>
    <s v="Preventivo"/>
    <x v="6"/>
    <x v="0"/>
    <m/>
    <n v="2"/>
    <m/>
    <x v="21"/>
    <s v="0.5"/>
    <s v="La JB1 de la maquina se reviso y no se encontraron cables mojados, ni flijos ni corroidos. De igual forma se reviso el gabinete de la pantalla y los componentes se encontraban bien sin señas de humedad ni corrosión"/>
    <x v="0"/>
  </r>
  <r>
    <x v="23"/>
    <s v="INSPECCION DE JB DE EMPACADORA"/>
    <s v="Preventivo"/>
    <x v="6"/>
    <x v="0"/>
    <m/>
    <n v="2"/>
    <m/>
    <x v="21"/>
    <s v="0.5"/>
    <s v="La JB1 de la máquina se encuentra en buen estado, sin señas de que se haya mojado por la lluvia. De igual forma el gabinete de la pantalla se encuentra en buen estado, no se presenta corrosión ni componentes mojados"/>
    <x v="0"/>
  </r>
  <r>
    <x v="3"/>
    <s v="COLOCACION DE GUIA PIN ROLL A GUIA BLANCA DE CORONADOR"/>
    <s v="Correctivo"/>
    <x v="7"/>
    <x v="37"/>
    <n v="1"/>
    <n v="1"/>
    <m/>
    <x v="22"/>
    <m/>
    <m/>
    <x v="0"/>
  </r>
  <r>
    <x v="3"/>
    <s v="Mantenimiento a cilindros elevadores de 33 - 43"/>
    <s v="Correctivo"/>
    <x v="7"/>
    <x v="0"/>
    <n v="2"/>
    <n v="12"/>
    <m/>
    <x v="22"/>
    <n v="12"/>
    <s v="Se realizo mantenimiento a 11 pistones del 36 al 46 luego del mantenimiento procedimos al montaje de los mismos y tambien al montaje de los que se realizaron el dia viernes 17/07 haciendo un montaje total de 22 pistones elevadores"/>
    <x v="0"/>
  </r>
  <r>
    <x v="29"/>
    <s v="Mantenimiento a motor B12"/>
    <s v="Correctivo"/>
    <x v="7"/>
    <x v="0"/>
    <n v="1"/>
    <n v="1"/>
    <m/>
    <x v="22"/>
    <m/>
    <m/>
    <x v="0"/>
  </r>
  <r>
    <x v="29"/>
    <s v="Mantenimiento a motor B11"/>
    <s v="Correctivo"/>
    <x v="7"/>
    <x v="0"/>
    <n v="1"/>
    <n v="1"/>
    <m/>
    <x v="22"/>
    <m/>
    <m/>
    <x v="0"/>
  </r>
  <r>
    <x v="30"/>
    <s v="Colocar seguro Omega para eje 40 y perforar eje para que prisionero no se mueva"/>
    <s v="Correctivo"/>
    <x v="7"/>
    <x v="0"/>
    <n v="1"/>
    <n v="0.75"/>
    <m/>
    <x v="22"/>
    <m/>
    <m/>
    <x v="0"/>
  </r>
  <r>
    <x v="3"/>
    <s v="Lubricacion semanal de llenadora"/>
    <s v="Preventivo"/>
    <x v="1"/>
    <x v="0"/>
    <n v="1"/>
    <n v="4"/>
    <m/>
    <x v="22"/>
    <n v="4"/>
    <s v="* Lubricacion distribuidor de gases_x000a_* Lubricacion distribuidor de cerveza_x000a_* Lubricacion Rinser_x000a_* Lubricacion de cardanes tornillo sinfin entrada y salida de equipo"/>
    <x v="0"/>
  </r>
  <r>
    <x v="11"/>
    <s v="Inspección de presión entre palpador y cilindro de goma"/>
    <s v="Preventivo"/>
    <x v="1"/>
    <x v="0"/>
    <n v="1"/>
    <n v="0.75"/>
    <m/>
    <x v="22"/>
    <m/>
    <s v="Con la ayuda de don Mario Escalante se reviso y rectifico palpadores  y cilindro engomador encontrando una leve desviacion en los palpadores de Suprema VNR. Se ajusto cilindro se probo con rtiqueta y quedo solventado"/>
    <x v="0"/>
  </r>
  <r>
    <x v="26"/>
    <s v="LIMPIEZA Y LUBRICACIÓN GUIAS DE SEGUIDOR LEVA CABEZAL"/>
    <s v="Preventivo"/>
    <x v="1"/>
    <x v="0"/>
    <n v="1"/>
    <n v="0.5"/>
    <m/>
    <x v="23"/>
    <m/>
    <m/>
    <x v="1"/>
  </r>
  <r>
    <x v="26"/>
    <s v="LUBRICACION DE ROTULA DE CILINDROS NEUMATICOS"/>
    <s v="Preventivo"/>
    <x v="1"/>
    <x v="0"/>
    <n v="1"/>
    <n v="0.33"/>
    <m/>
    <x v="23"/>
    <m/>
    <m/>
    <x v="1"/>
  </r>
  <r>
    <x v="26"/>
    <s v="VERIFICACION DE DESGASTE BANDA DE GOMA"/>
    <s v="Preventivo"/>
    <x v="1"/>
    <x v="0"/>
    <n v="1"/>
    <n v="0.33"/>
    <m/>
    <x v="23"/>
    <m/>
    <m/>
    <x v="1"/>
  </r>
  <r>
    <x v="26"/>
    <s v="INSPECCION DE RODAMIENTOS DE 80 RODILLOS (2 MIN POR RODILLO)"/>
    <s v="Preventivo"/>
    <x v="1"/>
    <x v="0"/>
    <n v="1"/>
    <n v="2"/>
    <m/>
    <x v="23"/>
    <m/>
    <m/>
    <x v="1"/>
  </r>
  <r>
    <x v="26"/>
    <s v="LIMPIEZA Y LUBRICACION CADENA DE RODILLO"/>
    <s v="Preventivo"/>
    <x v="1"/>
    <x v="0"/>
    <n v="1"/>
    <n v="0.75"/>
    <m/>
    <x v="23"/>
    <m/>
    <m/>
    <x v="1"/>
  </r>
  <r>
    <x v="26"/>
    <s v="LIMPIEZA, AJUSTE Y COMPROBACION DE FUNCIONAMIENTO DE SENSORES Y REFLECTIVOS DE MAQUINA"/>
    <s v="Preventivo"/>
    <x v="1"/>
    <x v="0"/>
    <n v="1"/>
    <n v="1"/>
    <m/>
    <x v="23"/>
    <m/>
    <m/>
    <x v="1"/>
  </r>
  <r>
    <x v="20"/>
    <s v="REVISION Y CIERRE DE FUGAS EN TULIPAS DE CABEZAL"/>
    <s v="Preventivo"/>
    <x v="1"/>
    <x v="0"/>
    <n v="1"/>
    <n v="2"/>
    <m/>
    <x v="23"/>
    <m/>
    <m/>
    <x v="1"/>
  </r>
  <r>
    <x v="20"/>
    <s v="VERFICIACION DE PIÑONES EN MESA DE ENTRADA TRANSPORTE"/>
    <s v="Preventivo"/>
    <x v="1"/>
    <x v="0"/>
    <n v="1"/>
    <n v="1.5"/>
    <m/>
    <x v="23"/>
    <m/>
    <m/>
    <x v="1"/>
  </r>
  <r>
    <x v="20"/>
    <s v="VERIFICACION Y REPARACION DE POLEAS DE RETORNO EN MESA DE ENTRADA TRANSPORTE"/>
    <s v="Preventivo"/>
    <x v="1"/>
    <x v="0"/>
    <n v="1"/>
    <n v="1"/>
    <m/>
    <x v="23"/>
    <m/>
    <m/>
    <x v="1"/>
  </r>
  <r>
    <x v="20"/>
    <s v="INSPECCION DE EJE DE FRENO DE CAJAS"/>
    <s v="Preventivo"/>
    <x v="1"/>
    <x v="0"/>
    <n v="1"/>
    <n v="0.25"/>
    <m/>
    <x v="23"/>
    <m/>
    <m/>
    <x v="1"/>
  </r>
  <r>
    <x v="20"/>
    <s v="VERIFICAR JUEGO EN ROTULA CILINDRO FRENO DE CAJAS"/>
    <s v="Preventivo"/>
    <x v="1"/>
    <x v="0"/>
    <n v="1"/>
    <n v="0.25"/>
    <m/>
    <x v="23"/>
    <m/>
    <m/>
    <x v="1"/>
  </r>
  <r>
    <x v="6"/>
    <s v="REVISION DE FUGAS EN TULIPAS DE CABEZAL"/>
    <s v="Preventivo"/>
    <x v="1"/>
    <x v="0"/>
    <n v="1"/>
    <n v="2"/>
    <m/>
    <x v="23"/>
    <m/>
    <m/>
    <x v="1"/>
  </r>
  <r>
    <x v="6"/>
    <s v="VERFICIACION DE PIÑONES EN MESA DE ENTRADA TRANSPORTE"/>
    <s v="Preventivo"/>
    <x v="1"/>
    <x v="0"/>
    <n v="1"/>
    <n v="1.5"/>
    <m/>
    <x v="23"/>
    <n v="2"/>
    <m/>
    <x v="0"/>
  </r>
  <r>
    <x v="6"/>
    <s v="VERIFICACION DE POLEAS DE RETORNO EN MESA DE ENTRADA TRANSPORTE"/>
    <s v="Preventivo"/>
    <x v="1"/>
    <x v="0"/>
    <n v="1"/>
    <n v="1"/>
    <m/>
    <x v="23"/>
    <m/>
    <m/>
    <x v="1"/>
  </r>
  <r>
    <x v="6"/>
    <s v="INSPECCION DE EJE DE FRENO DE CAJAS"/>
    <s v="Preventivo"/>
    <x v="1"/>
    <x v="0"/>
    <n v="1"/>
    <n v="0.25"/>
    <m/>
    <x v="23"/>
    <m/>
    <m/>
    <x v="1"/>
  </r>
  <r>
    <x v="6"/>
    <s v="VERIFICAR JUEGO EN ROTULA CILINDRO FRENO DE CAJAS"/>
    <s v="Preventivo"/>
    <x v="1"/>
    <x v="0"/>
    <n v="1"/>
    <n v="0.25"/>
    <m/>
    <x v="23"/>
    <m/>
    <m/>
    <x v="1"/>
  </r>
  <r>
    <x v="0"/>
    <s v="INSPECCION DE TURBINA EXTRACTOR DE GASES 1"/>
    <s v="Preventivo"/>
    <x v="7"/>
    <x v="0"/>
    <n v="2"/>
    <n v="8"/>
    <m/>
    <x v="22"/>
    <m/>
    <m/>
    <x v="0"/>
  </r>
  <r>
    <x v="0"/>
    <s v="VERIFICAR DESGASTE,FIJACIONES Y REPARAR GUIAS CURVAS DE ENTRADA "/>
    <s v="Preventivo"/>
    <x v="1"/>
    <x v="0"/>
    <n v="1"/>
    <n v="1"/>
    <m/>
    <x v="22"/>
    <n v="0.83"/>
    <s v="Se realizo segun orden"/>
    <x v="0"/>
  </r>
  <r>
    <x v="0"/>
    <s v="VERIFICAR DESGASTE, FIJACIONES Y REPARAR DEDOS DE CARGA"/>
    <s v="Preventivo"/>
    <x v="1"/>
    <x v="0"/>
    <n v="1"/>
    <n v="1"/>
    <m/>
    <x v="22"/>
    <n v="0.83"/>
    <s v="Se realizó según orden"/>
    <x v="0"/>
  </r>
  <r>
    <x v="0"/>
    <s v="DESTAPONADO DE INYECTORES DE DUCHAS DE TANQUES 1 Y 3"/>
    <s v="Preventivo"/>
    <x v="1"/>
    <x v="0"/>
    <n v="1"/>
    <n v="2"/>
    <m/>
    <x v="22"/>
    <n v="0.83"/>
    <s v="Realizado segun orden"/>
    <x v="0"/>
  </r>
  <r>
    <x v="0"/>
    <s v="VERIFICACION DE ESTADO DE CORTINAS DE GOMA"/>
    <s v="Preventivo"/>
    <x v="1"/>
    <x v="0"/>
    <n v="1"/>
    <n v="1"/>
    <m/>
    <x v="22"/>
    <n v="0.83"/>
    <s v="Las cortinas están en buen estado"/>
    <x v="0"/>
  </r>
  <r>
    <x v="10"/>
    <s v="LIMPIEZA INTERNA DE TANQUES "/>
    <s v="Preventivo"/>
    <x v="1"/>
    <x v="0"/>
    <n v="2"/>
    <n v="2"/>
    <m/>
    <x v="23"/>
    <m/>
    <m/>
    <x v="0"/>
  </r>
  <r>
    <x v="10"/>
    <s v="VERIFICAR ESTADO DE LLUVIAS DE MALLA"/>
    <s v="Preventivo"/>
    <x v="1"/>
    <x v="0"/>
    <n v="1"/>
    <n v="0.33"/>
    <m/>
    <x v="23"/>
    <m/>
    <m/>
    <x v="0"/>
  </r>
  <r>
    <x v="19"/>
    <s v="LIMPIEZA Y LUBRICACIÓN GUIAS DE SEGUIDOR LEVA CABEZAL"/>
    <s v="Preventivo"/>
    <x v="1"/>
    <x v="0"/>
    <n v="1"/>
    <n v="1"/>
    <m/>
    <x v="23"/>
    <m/>
    <m/>
    <x v="1"/>
  </r>
  <r>
    <x v="19"/>
    <s v="LUBRICACION DE ROTULA DE CILINDROS NEUMATICOS"/>
    <s v="Preventivo"/>
    <x v="1"/>
    <x v="0"/>
    <n v="1"/>
    <n v="0.33"/>
    <m/>
    <x v="23"/>
    <m/>
    <m/>
    <x v="1"/>
  </r>
  <r>
    <x v="19"/>
    <s v="VERIFICACION DE DESGASTE BANDA DE GOMA"/>
    <s v="Preventivo"/>
    <x v="1"/>
    <x v="0"/>
    <n v="1"/>
    <n v="0.33"/>
    <m/>
    <x v="23"/>
    <m/>
    <m/>
    <x v="1"/>
  </r>
  <r>
    <x v="19"/>
    <s v="INSPECCION DE RODAMIENTOS DE 46 RODILLOS (2 MIN POR RODILLO)"/>
    <s v="Preventivo"/>
    <x v="1"/>
    <x v="0"/>
    <n v="1"/>
    <n v="2"/>
    <m/>
    <x v="23"/>
    <m/>
    <m/>
    <x v="1"/>
  </r>
  <r>
    <x v="19"/>
    <s v="LIMPIEZA Y LUBRICACION CADENA DE RODILLO"/>
    <s v="Preventivo"/>
    <x v="1"/>
    <x v="0"/>
    <n v="1"/>
    <n v="0.75"/>
    <m/>
    <x v="23"/>
    <m/>
    <m/>
    <x v="1"/>
  </r>
  <r>
    <x v="19"/>
    <s v="LIMPIEZA, AJUSTE Y COMPROBACION DE FUNCIONAMIENTO DE SENSORES Y REFLECTIVOS DE MAQUINA"/>
    <s v="Preventivo"/>
    <x v="1"/>
    <x v="0"/>
    <n v="1"/>
    <n v="1"/>
    <m/>
    <x v="23"/>
    <m/>
    <m/>
    <x v="1"/>
  </r>
  <r>
    <x v="26"/>
    <s v="VERIFICACION DE NIVEL DE ACEITE MOTORREDUCTOR ELEVACION"/>
    <s v="Preventivo"/>
    <x v="7"/>
    <x v="0"/>
    <n v="1"/>
    <n v="1.5"/>
    <m/>
    <x v="22"/>
    <m/>
    <m/>
    <x v="0"/>
  </r>
  <r>
    <x v="19"/>
    <s v="VERIFICACION DE NIVEL DE ACEITE MOTORREDUCTOR ELEVACION"/>
    <s v="Preventivo"/>
    <x v="7"/>
    <x v="0"/>
    <n v="1"/>
    <n v="1.5"/>
    <m/>
    <x v="22"/>
    <m/>
    <m/>
    <x v="0"/>
  </r>
  <r>
    <x v="20"/>
    <s v="REVISION DE ESTADO DE CILINDROS NEUMATICOS, ELECTROVALVULAS Y MANGUERAS"/>
    <s v="Preventivo"/>
    <x v="6"/>
    <x v="0"/>
    <n v="1"/>
    <n v="1"/>
    <m/>
    <x v="22"/>
    <n v="1"/>
    <s v="Todo se encuentra en buen estado solo se limpio con WD-40"/>
    <x v="0"/>
  </r>
  <r>
    <x v="6"/>
    <s v="REVISION DE ESTADO DE CILINDROS NEUMATICOS, ELECTROVALVULAS Y MANGUERAS"/>
    <s v="Preventivo"/>
    <x v="6"/>
    <x v="0"/>
    <n v="1"/>
    <n v="1"/>
    <m/>
    <x v="22"/>
    <n v="1"/>
    <s v="Se probo electrovalvula y tenia cable flojo se apreto y limpió"/>
    <x v="0"/>
  </r>
  <r>
    <x v="0"/>
    <s v="REVISION DE CABLE POR CORTOCIRCUITOS EN BORNERA K2641 PANEL DE FUERZA Y MANDO"/>
    <s v="Preventivo"/>
    <x v="6"/>
    <x v="0"/>
    <n v="1"/>
    <n v="1"/>
    <m/>
    <x v="22"/>
    <n v="1"/>
    <s v="Se revisó cable de guarda y contactor y se re apreto"/>
    <x v="0"/>
  </r>
  <r>
    <x v="0"/>
    <s v="REVISION DE ESTADO DE CONECTORES DE SENSORES DE EQUIPO"/>
    <s v="Preventivo"/>
    <x v="6"/>
    <x v="0"/>
    <n v="1"/>
    <n v="0.75"/>
    <m/>
    <x v="22"/>
    <n v="1"/>
    <s v="Se quito conectores se limpiaron con limpiador de contacto y se revisaron conexiones estan bien solo se cambio uno por muy viejo"/>
    <x v="0"/>
  </r>
  <r>
    <x v="6"/>
    <s v="REVISION DE ESTADO DE CONECTORES DE SENSORES DE EQUIPO"/>
    <s v="Preventivo"/>
    <x v="6"/>
    <x v="0"/>
    <n v="1"/>
    <n v="0.75"/>
    <m/>
    <x v="22"/>
    <m/>
    <s v="SE REPROGRAMARA PARA OTRA PARADA PROGRAMADA DEL EQUIPO PARA REALIZAR MTTO 27/07/2026, NO SE REALIZO POR INCAPACIDAD DE ANDREA CASTRO Y FERNANDO CON RENE SE ESTUVO APOYANDO EN CONEXION CARTONERO"/>
    <x v="4"/>
  </r>
  <r>
    <x v="20"/>
    <s v="REVISION DE ESTADO DE CONECTORES DE SENSORES DE EQUIPO"/>
    <s v="Preventivo"/>
    <x v="6"/>
    <x v="0"/>
    <n v="1"/>
    <n v="0.75"/>
    <m/>
    <x v="22"/>
    <m/>
    <s v="SE REPROGRAMARA PARA OTRA PARADA PROGRAMADA DEL EQUIPO PARA REALIZAR MTTO 27/07/2026, NO SE REALIZO POR INCAPACIDAD DE ANDREA CASTRO Y FERNANDO CON RENE SE ESTUVO APOYANDO EN CONEXION CARTONERO"/>
    <x v="4"/>
  </r>
  <r>
    <x v="26"/>
    <s v="REVISION DE ESTADO DE CONECTORES DE SENSORES DE EQUIPO"/>
    <s v="Preventivo"/>
    <x v="6"/>
    <x v="37"/>
    <n v="1"/>
    <n v="0.75"/>
    <m/>
    <x v="22"/>
    <m/>
    <s v="SE REPROGRAMARA PARA OTRA PARADA PROGRAMADA DEL EQUIPO PARA REALIZAR MTTO 27/07/2026, NO SE REALIZO POR INCAPACIDAD DE ANDREA CASTRO Y FERNANDO CON RENE SE ESTUVO APOYANDO EN CONEXION CARTONERO"/>
    <x v="4"/>
  </r>
  <r>
    <x v="19"/>
    <s v="REVISION DE ESTADO DE CONECTORES DE SENSORES DE EQUIPO"/>
    <s v="Preventivo"/>
    <x v="6"/>
    <x v="0"/>
    <n v="1"/>
    <n v="0.75"/>
    <m/>
    <x v="22"/>
    <m/>
    <s v="SE REPROGRAMARA PARA OTRA PARADA PROGRAMADA DEL EQUIPO PARA REALIZAR MTTO 27/07/2026, NO SE REALIZO POR INCAPACIDAD DE ANDREA CASTRO Y FERNANDO CON RENE SE ESTUVO APOYANDO EN CONEXION CARTONERO"/>
    <x v="4"/>
  </r>
  <r>
    <x v="11"/>
    <s v="LUBRICAR EL EJE MOTRIZ DEL TORNILLO SINFIN DE LA ZONA DE ENTRADA"/>
    <s v="Preventivo"/>
    <x v="1"/>
    <x v="0"/>
    <n v="1"/>
    <n v="0.5"/>
    <m/>
    <x v="22"/>
    <m/>
    <s v="Se realizo lubricacion y limpieza a tornillo sinfin, también se procedió a quitar rebaba a tornillo sinfin, se lubrico eje central se desmontó y se volvió a colocar se probó y trabajó correctamente."/>
    <x v="0"/>
  </r>
  <r>
    <x v="11"/>
    <s v="LUBRICAR LOS RODAMIENTOS DE LOS PORTAENVASES DE LA MESA PORTAENVASE"/>
    <s v="Preventivo"/>
    <x v="1"/>
    <x v="0"/>
    <n v="1"/>
    <n v="1"/>
    <m/>
    <x v="22"/>
    <m/>
    <s v="Se inspeccionó cada plato giratorio (porta botella) encontrado todo perfectamente lubricado sin daños o golpes por botellas u operaciones erraticas, tambien se rectifico que ningun perno o tornillo estuvieje flojo o dañado"/>
    <x v="0"/>
  </r>
  <r>
    <x v="11"/>
    <s v="LUBRICAR HUSILLO DEL SISTEMA DE AJUSTE DE ALTURA"/>
    <s v="Preventivo"/>
    <x v="1"/>
    <x v="0"/>
    <n v="1"/>
    <n v="0.5"/>
    <m/>
    <x v="22"/>
    <m/>
    <s v="Se engraso punto de lubricacion elevador de altura. Se aplico 5 bombeos (se giro la maquina) para mayor eficiencia al bombear grasa"/>
    <x v="0"/>
  </r>
  <r>
    <x v="3"/>
    <s v="LIMPIEZA DE CILINDROS ELEVADORES 44- 55"/>
    <s v="Preventivo"/>
    <x v="1"/>
    <x v="0"/>
    <m/>
    <n v="2"/>
    <m/>
    <x v="10"/>
    <m/>
    <m/>
    <x v="2"/>
  </r>
  <r>
    <x v="0"/>
    <s v="INSTALACION DE 3 CANASTOS "/>
    <s v="Preventivo"/>
    <x v="1"/>
    <x v="0"/>
    <n v="2"/>
    <n v="1"/>
    <m/>
    <x v="22"/>
    <n v="0.83"/>
    <s v="Se montaron los 3 canastos, quedan pendientes 2 para cerrar hueco"/>
    <x v="0"/>
  </r>
  <r>
    <x v="26"/>
    <s v="CABLEADO Y CONEXION DE CARTONERO"/>
    <s v="Preventivo"/>
    <x v="6"/>
    <x v="0"/>
    <n v="1"/>
    <n v="8"/>
    <m/>
    <x v="22"/>
    <m/>
    <m/>
    <x v="0"/>
  </r>
  <r>
    <x v="3"/>
    <s v="INSPECCION NEUMATICA DE CORONADOR"/>
    <s v="Preventivo"/>
    <x v="6"/>
    <x v="0"/>
    <n v="1"/>
    <n v="0.75"/>
    <m/>
    <x v="23"/>
    <n v="1"/>
    <s v="COMPONENTES NEUMATICOS EN BUEN ESTADO"/>
    <x v="0"/>
  </r>
  <r>
    <x v="31"/>
    <s v="ENVIO DE MOTOR B11 A MANTENIMIENTO POR CAMBIO DE RODAMIENTOS"/>
    <s v="Preventivo"/>
    <x v="8"/>
    <x v="0"/>
    <m/>
    <n v="12"/>
    <m/>
    <x v="23"/>
    <m/>
    <m/>
    <x v="0"/>
  </r>
  <r>
    <x v="31"/>
    <s v="ENVIO DE MOTOR B09 A MANTENIMIENTO POR RECTIFICADO DE EJE"/>
    <s v="Preventivo"/>
    <x v="8"/>
    <x v="0"/>
    <n v="1"/>
    <n v="12"/>
    <m/>
    <x v="24"/>
    <m/>
    <m/>
    <x v="0"/>
  </r>
  <r>
    <x v="32"/>
    <s v="INSPECCION Y LIMPIEZA DE GUIAS Y CADENAS DE TRANSPORTE "/>
    <s v="Preventivo"/>
    <x v="1"/>
    <x v="0"/>
    <n v="2"/>
    <n v="3"/>
    <m/>
    <x v="23"/>
    <n v="5.5"/>
    <s v="SE REALIZO LIMPIEZA PERO SE NECESITAN MAS DE 1 PERSONA PARA EL TRABAJO YA QUE CUESTA DESMONTAR Y MONTAR LAS CADENAS"/>
    <x v="0"/>
  </r>
  <r>
    <x v="33"/>
    <s v="INSPECCION Y LIMPIEZA DE GUIAS Y CADENAS DE TRANSPORTE "/>
    <s v="Preventivo"/>
    <x v="1"/>
    <x v="0"/>
    <n v="2"/>
    <n v="3"/>
    <m/>
    <x v="23"/>
    <m/>
    <s v="NO SE REALIZO POR FALTA DE TIEMPO"/>
    <x v="0"/>
  </r>
  <r>
    <x v="3"/>
    <s v="LUBRICACION SEMANAL DE LLENADORA"/>
    <s v="Preventivo"/>
    <x v="1"/>
    <x v="0"/>
    <n v="1"/>
    <n v="10"/>
    <m/>
    <x v="23"/>
    <n v="4.5"/>
    <s v="SE REALIZO LUBRICACION SEGUN ORDEN._x000a_ADEMAS SE REALIZO CAMBIO DE PRESENTACION DE PRESENTACION EN LLENADORA._x000a_SE APOYO AL DESMONTAJE Y MONTAJE DE PISTONES"/>
    <x v="0"/>
  </r>
  <r>
    <x v="3"/>
    <s v="MANTENIMIENTO A CILINDROS ELEVADORES DEL 14 AL 24"/>
    <s v="Correctivo"/>
    <x v="7"/>
    <x v="0"/>
    <n v="2"/>
    <n v="9"/>
    <m/>
    <x v="23"/>
    <n v="8"/>
    <s v="SE EJECUTO MANTENIMIENTO COMPLETO A LOS PISTONES DE LLNADORA DEL 14 AL 24. AL MOMENTO DE MONTAR NOS AYUDO OPERADOR DE LLENADORA"/>
    <x v="0"/>
  </r>
  <r>
    <x v="34"/>
    <s v="CAMBIO DE RETENEDOR POR FUGA MOTOR C18 "/>
    <s v="Correctivo - ID157"/>
    <x v="7"/>
    <x v="0"/>
    <n v="1"/>
    <n v="1"/>
    <m/>
    <x v="23"/>
    <m/>
    <m/>
    <x v="1"/>
  </r>
  <r>
    <x v="35"/>
    <s v="CAMBIO DE RETENEDOR POR FUGA MOTOR B44"/>
    <s v="Correctivo - ID158"/>
    <x v="7"/>
    <x v="0"/>
    <n v="1"/>
    <n v="1"/>
    <m/>
    <x v="23"/>
    <n v="1"/>
    <m/>
    <x v="0"/>
  </r>
  <r>
    <x v="36"/>
    <s v="CAMBIO DE RETENEDOR POR FUGA MOTOR C10"/>
    <s v="Correctivo - ID163"/>
    <x v="7"/>
    <x v="0"/>
    <n v="1"/>
    <n v="1"/>
    <m/>
    <x v="23"/>
    <n v="1"/>
    <m/>
    <x v="0"/>
  </r>
  <r>
    <x v="37"/>
    <s v="INSTALACION DE VARILLAS PARA AJUSTAR BARANDAS LATERALES DE TRANSPORTE"/>
    <s v="Preventivo"/>
    <x v="7"/>
    <x v="0"/>
    <n v="1"/>
    <n v="8"/>
    <m/>
    <x v="23"/>
    <n v="4"/>
    <m/>
    <x v="0"/>
  </r>
  <r>
    <x v="0"/>
    <s v="REVISION DE ESTADO DE CONECTORES DE SENSORES DE EQUIPO"/>
    <s v="Preventivo"/>
    <x v="6"/>
    <x v="39"/>
    <n v="1"/>
    <n v="0.75"/>
    <m/>
    <x v="23"/>
    <n v="1"/>
    <s v="Componentes en buen estado"/>
    <x v="0"/>
  </r>
  <r>
    <x v="6"/>
    <s v="REVISION DE ESTADO DE CONECTORES DE SENSORES DE EQUIPO"/>
    <s v="Preventivo"/>
    <x v="6"/>
    <x v="39"/>
    <n v="1"/>
    <n v="0.75"/>
    <m/>
    <x v="23"/>
    <n v="1.3"/>
    <s v="Componentes en buen estado"/>
    <x v="0"/>
  </r>
  <r>
    <x v="20"/>
    <s v="REVISION DE ESTADO DE CONECTORES DE SENSORES DE EQUIPO"/>
    <s v="Preventivo"/>
    <x v="6"/>
    <x v="39"/>
    <n v="1"/>
    <n v="0.75"/>
    <m/>
    <x v="23"/>
    <m/>
    <m/>
    <x v="1"/>
  </r>
  <r>
    <x v="26"/>
    <s v="REVISION DE ESTADO DE CONECTORES DE SENSORES DE EQUIPO"/>
    <s v="Preventivo"/>
    <x v="6"/>
    <x v="39"/>
    <n v="1"/>
    <n v="0.75"/>
    <m/>
    <x v="23"/>
    <m/>
    <m/>
    <x v="1"/>
  </r>
  <r>
    <x v="19"/>
    <s v="REVISION DE ESTADO DE CONECTORES DE SENSORES DE EQUIPO"/>
    <s v="Preventivo"/>
    <x v="6"/>
    <x v="39"/>
    <n v="1"/>
    <n v="0.75"/>
    <m/>
    <x v="23"/>
    <n v="1"/>
    <s v="Componentes en buen estado"/>
    <x v="0"/>
  </r>
  <r>
    <x v="11"/>
    <s v="INSTALACION DE SENSOR PARA VIDEOJET EN GUARDA DE CARRUSEL"/>
    <s v="Preventivo"/>
    <x v="6"/>
    <x v="0"/>
    <n v="1"/>
    <n v="2"/>
    <m/>
    <x v="23"/>
    <m/>
    <m/>
    <x v="1"/>
  </r>
  <r>
    <x v="38"/>
    <s v="MANTENIMIENTO Y CAMBIO DE COMPONENTES A RODILLOS MESA DE DESCARGA"/>
    <s v="Correctivo"/>
    <x v="7"/>
    <x v="0"/>
    <n v="1"/>
    <n v="6"/>
    <m/>
    <x v="23"/>
    <m/>
    <m/>
    <x v="0"/>
  </r>
  <r>
    <x v="39"/>
    <s v="INSTALACION DE ALARMA SONORA PARA VOLTEADOR DE CAJAS"/>
    <s v="Preventivo"/>
    <x v="6"/>
    <x v="0"/>
    <n v="1"/>
    <n v="9"/>
    <m/>
    <x v="23"/>
    <m/>
    <m/>
    <x v="1"/>
  </r>
  <r>
    <x v="40"/>
    <s v="TAGGEADO DE CABLEADO ELECTRICO EN PANELES"/>
    <s v="Preventivo"/>
    <x v="6"/>
    <x v="39"/>
    <n v="1"/>
    <n v="9"/>
    <m/>
    <x v="23"/>
    <m/>
    <s v="No se terminó de etiquetar en todos los gabinetes porque la etiquetadora se quedo sin carga, faltaron gabinete de despalet, palet y despalet de botellas, se ordeno el mezanine porque habia mucho cable tirado. Se apoyo a Fernando en revisión de señales que solicito Juan Pablo"/>
    <x v="3"/>
  </r>
  <r>
    <x v="13"/>
    <s v="CONEXION DE FLUJOMETRO DE CO2 "/>
    <s v="Preventivo"/>
    <x v="6"/>
    <x v="0"/>
    <n v="1"/>
    <n v="3"/>
    <m/>
    <x v="23"/>
    <n v="2"/>
    <s v="Se realizo la instalacion del cableado para la conexion del flujometro, trabajo realizado junto a Fernando C."/>
    <x v="0"/>
  </r>
  <r>
    <x v="0"/>
    <s v="LIMPIEZA DE INYECTORES/CHORROS DE TUBERIA TQ 2"/>
    <s v="Preventivo"/>
    <x v="1"/>
    <x v="0"/>
    <n v="1"/>
    <n v="0.5"/>
    <m/>
    <x v="23"/>
    <m/>
    <m/>
    <x v="1"/>
  </r>
  <r>
    <x v="0"/>
    <s v="LIMPIEZA DE TANQUE #2"/>
    <s v="Preventivo"/>
    <x v="1"/>
    <x v="0"/>
    <n v="1"/>
    <n v="3"/>
    <m/>
    <x v="23"/>
    <m/>
    <m/>
    <x v="1"/>
  </r>
  <r>
    <x v="0"/>
    <s v="LIMPIEZA DE TANQUE #3"/>
    <s v="Preventivo"/>
    <x v="1"/>
    <x v="0"/>
    <n v="1"/>
    <n v="3"/>
    <m/>
    <x v="23"/>
    <m/>
    <m/>
    <x v="1"/>
  </r>
  <r>
    <x v="11"/>
    <s v="LIMPIEZA DE TULIPAS, DE PALPADORES, DE CILINDRO DE TRANSFERENCIA Y ESPONJAS"/>
    <s v="Preventivo"/>
    <x v="1"/>
    <x v="0"/>
    <n v="1"/>
    <n v="2"/>
    <m/>
    <x v="23"/>
    <n v="1"/>
    <s v="SE REALIZO LIMPIEZA INSPECCION Y LUBRICACION DE TULIPAS, PALPADORES, CILINDROS TRANSFER Y ESPONJAS DEJANDO CAMBIO DE FORMATO REALIZADO"/>
    <x v="0"/>
  </r>
  <r>
    <x v="11"/>
    <m/>
    <m/>
    <x v="3"/>
    <x v="0"/>
    <m/>
    <m/>
    <m/>
    <x v="10"/>
    <m/>
    <m/>
    <x v="2"/>
  </r>
  <r>
    <x v="11"/>
    <s v="LUBRICAR EL EJE MOTRIZ DEL TORNILLO SINFIN DE LA ZONA DE ENTRADA"/>
    <s v="Preventivo"/>
    <x v="1"/>
    <x v="0"/>
    <n v="1"/>
    <n v="0.5"/>
    <m/>
    <x v="23"/>
    <n v="1"/>
    <s v="SE LIMPIO Y LUBRICO EJE MOTRIZ DEL TORNILLO SINFIN, SE LIMPIO Y LUBRICO HUSILLO DE ENTRADA Y SALIDA"/>
    <x v="0"/>
  </r>
  <r>
    <x v="11"/>
    <s v="LUBRICAR LOS RODAMIENTOS DE LOS PORTAENVASES DE LA MESA PORTAENVASE"/>
    <s v="Preventivo"/>
    <x v="1"/>
    <x v="0"/>
    <n v="1"/>
    <n v="1"/>
    <m/>
    <x v="23"/>
    <n v="1"/>
    <s v="SE REALIZO INSPECCION Y RE APRETE A PLATOS PORTABOTELLAS VERIFICANDO QUE LOS PLATOS SE ENCUENTREN EN BUEN ESTADO"/>
    <x v="0"/>
  </r>
  <r>
    <x v="11"/>
    <s v="LUBRICAR HUSILLO DEL SISTEMA DE AJUSTE DE ALTURA"/>
    <s v="Preventivo"/>
    <x v="1"/>
    <x v="0"/>
    <n v="1"/>
    <n v="0.5"/>
    <m/>
    <x v="23"/>
    <n v="1"/>
    <s v="CABE RECALCAR QUE ESTE PUNTO SE LUBRICA DESDE LUBRICACION CENTRALIZADA, SE ENCONTRO SIN LUBRICAR, SE LUBRICO Y LIMPIO EXCESO DE GRASA"/>
    <x v="0"/>
  </r>
  <r>
    <x v="20"/>
    <s v="LIMPIEZA Y LUBRICACIÓN GUIAS DE SEGUIDOR LEVA CABEZAL"/>
    <s v="Preventivo"/>
    <x v="1"/>
    <x v="0"/>
    <n v="1"/>
    <n v="0.5"/>
    <m/>
    <x v="23"/>
    <m/>
    <m/>
    <x v="1"/>
  </r>
  <r>
    <x v="3"/>
    <s v="LIMPIEZA DE ALETAS DE MOTOR DE BOMBA DE VACÍO"/>
    <s v="Preventivo"/>
    <x v="6"/>
    <x v="0"/>
    <n v="1"/>
    <n v="0.5"/>
    <m/>
    <x v="23"/>
    <n v="0.5"/>
    <m/>
    <x v="0"/>
  </r>
  <r>
    <x v="20"/>
    <s v="FABRICACION Y COLOCACION DE BANDEROLAS PARA DESENCAJONADOR"/>
    <s v="Preventivo"/>
    <x v="7"/>
    <x v="0"/>
    <n v="1"/>
    <n v="1"/>
    <m/>
    <x v="23"/>
    <m/>
    <m/>
    <x v="0"/>
  </r>
  <r>
    <x v="11"/>
    <s v="MODIFICACION DE BASE DE SENSOR DE VIDEOJET"/>
    <s v="Preventivo"/>
    <x v="7"/>
    <x v="3"/>
    <n v="1"/>
    <n v="5"/>
    <m/>
    <x v="24"/>
    <n v="5"/>
    <s v="SE FABRICO UNA MORDAZA"/>
    <x v="0"/>
  </r>
  <r>
    <x v="39"/>
    <s v="INSTALACION DE ALARMA SONORA PARA VOLTEADOR DE CAJAS"/>
    <s v="Preventivo"/>
    <x v="6"/>
    <x v="40"/>
    <n v="1"/>
    <n v="11"/>
    <m/>
    <x v="24"/>
    <m/>
    <s v="SE INSTALO ALARMA SONORA"/>
    <x v="0"/>
  </r>
  <r>
    <x v="0"/>
    <s v="INSTALACION DE LLAVE DE PASO PARA FILTRO TANQUE 3"/>
    <s v="Preventivo"/>
    <x v="7"/>
    <x v="0"/>
    <n v="1"/>
    <n v="9"/>
    <m/>
    <x v="10"/>
    <m/>
    <m/>
    <x v="4"/>
  </r>
  <r>
    <x v="13"/>
    <s v="COLOCACION DE RUEDAS LOCAS CON FRENO A ESCALERA DE SALIDA DE LLENADORA Y MESAS DE PORTACABEZALES"/>
    <s v="Preventivo"/>
    <x v="7"/>
    <x v="0"/>
    <n v="1"/>
    <n v="5"/>
    <m/>
    <x v="10"/>
    <m/>
    <m/>
    <x v="4"/>
  </r>
  <r>
    <x v="0"/>
    <s v="COLOCACION DE FILTRO PARA DRENOS DE ENJUAGUE FINAL"/>
    <s v="Preventivo"/>
    <x v="7"/>
    <x v="0"/>
    <n v="1"/>
    <n v="5"/>
    <m/>
    <x v="10"/>
    <m/>
    <m/>
    <x v="4"/>
  </r>
  <r>
    <x v="10"/>
    <s v="COLOCACION Y CABLEADO DE BOTONERA EN PASTEURIZADOR"/>
    <s v="Preventivo"/>
    <x v="6"/>
    <x v="22"/>
    <n v="1"/>
    <n v="4.5"/>
    <m/>
    <x v="25"/>
    <m/>
    <s v="NO SE REALIZO POR CONTACTO EN MAL ESTADO QUE SE PIDIO CAMBIO"/>
    <x v="4"/>
  </r>
  <r>
    <x v="6"/>
    <s v="COLOCACION Y CABLEADO DE BOTONERA EN ENCAJONADORA"/>
    <s v="Preventivo"/>
    <x v="6"/>
    <x v="22"/>
    <n v="1"/>
    <n v="4.5"/>
    <m/>
    <x v="25"/>
    <n v="6"/>
    <s v="SE COLOCÓ BOTONERA EN ENTRADA DE MAQUINA"/>
    <x v="0"/>
  </r>
  <r>
    <x v="6"/>
    <s v="LIMPIEZA DE CONECTORES DE SENSORES ENCAJONADORA"/>
    <s v="Preventivo"/>
    <x v="6"/>
    <x v="22"/>
    <n v="1"/>
    <n v="3"/>
    <m/>
    <x v="24"/>
    <m/>
    <m/>
    <x v="4"/>
  </r>
  <r>
    <x v="26"/>
    <s v="LIMPIEZA Y LUBRICACION CADENA DE TRACC. MESA DE DESCARG. RODILLOS"/>
    <s v="Preventivo"/>
    <x v="1"/>
    <x v="30"/>
    <n v="1"/>
    <n v="2"/>
    <m/>
    <x v="24"/>
    <m/>
    <s v="SE REALIZO LIMPIEZA Y SE QUITO TIERRA Y PLASTICO ATASCADO EN DONDE ESTAN LOS PERNOS DE LOS RODILLOS Y LUEGO SE QUITO SUCIEDAD DE CADENA"/>
    <x v="0"/>
  </r>
  <r>
    <x v="41"/>
    <s v="MANTENIMIENTO A RUEDAS DE RETORNO Y RODILLOS TENSORES DE SALIDA ENCA A PALET"/>
    <s v="Preventivo"/>
    <x v="7"/>
    <x v="21"/>
    <n v="1"/>
    <n v="9"/>
    <m/>
    <x v="24"/>
    <m/>
    <m/>
    <x v="4"/>
  </r>
  <r>
    <x v="11"/>
    <s v="ORDENAMIENTO DE CABLEADO DE CONEXION VIDEOJET ETQ"/>
    <s v="Preventivo"/>
    <x v="6"/>
    <x v="22"/>
    <n v="1"/>
    <n v="3"/>
    <m/>
    <x v="24"/>
    <m/>
    <s v="SE REALIZO ORDEN DEL CABLEADO DEJANDOLO PROLIJO"/>
    <x v="0"/>
  </r>
  <r>
    <x v="42"/>
    <s v="TOMA DE BACKUPS DE VARIADORES DE FRECUENCIA LINEA ENVASADO"/>
    <s v="Preventivo"/>
    <x v="6"/>
    <x v="0"/>
    <n v="1"/>
    <n v="48"/>
    <m/>
    <x v="26"/>
    <m/>
    <m/>
    <x v="4"/>
  </r>
  <r>
    <x v="0"/>
    <s v="LIMPIEZA INTERNA DE TANQUE 1"/>
    <s v="Preventivo"/>
    <x v="1"/>
    <x v="11"/>
    <n v="1"/>
    <n v="3"/>
    <m/>
    <x v="24"/>
    <n v="3"/>
    <s v="SE TRASLADO SODA A ISLA SE LAVO TANQUES Y SE ENJUAGARON SE BAJARON DUCHAS, SE DESARMARON PARA ASEGURAR ROCIADO PARA TENER BUENA PRESIÓN Y ASEGURAR BUEN LAVADO DE ENVASE"/>
    <x v="0"/>
  </r>
  <r>
    <x v="0"/>
    <s v="LIMPIEZA INTERNA DE TANQUE 2"/>
    <s v="Preventivo"/>
    <x v="1"/>
    <x v="11"/>
    <n v="1"/>
    <n v="3"/>
    <m/>
    <x v="24"/>
    <n v="3"/>
    <s v="SE TRASLADO SODA A ISLA SE LAVO TANQUES Y SE ENJUAGARON SE BAJARON DUCHAS, SE DESARMARON PARA ASEGURAR ROCIADO PARA TENER BUENA PRESIÓN Y ASEGURAR BUEN LAVADO DE ENVASE"/>
    <x v="0"/>
  </r>
  <r>
    <x v="3"/>
    <s v="LUBRICACION SEMANAL DE LLENADORA"/>
    <s v="Preventivo"/>
    <x v="1"/>
    <x v="2"/>
    <n v="1"/>
    <n v="4"/>
    <m/>
    <x v="24"/>
    <n v="3"/>
    <s v="SOLO SE LUBRICO DISTRIBUIDOR DE GASES POR MANTENIMIENTO Y COLOCACION DE CILINDRO DE ELEVACIÓN"/>
    <x v="0"/>
  </r>
  <r>
    <x v="26"/>
    <s v="LIMPIEZA Y LUBRICACION DE CADENA DOBLE DE MESA DE RODILLOS"/>
    <s v="Preventivo"/>
    <x v="1"/>
    <x v="30"/>
    <n v="1"/>
    <n v="2"/>
    <m/>
    <x v="24"/>
    <m/>
    <s v="SE LIMPIO CADENA CON DESENGRASANTE PARA APLICAR GRASA NUEVA QUEDANDO LIMPIÓ EN DONDE SE DESPLAZO  CADENA Y SE QUITO TIERRA ATASCADA"/>
    <x v="0"/>
  </r>
  <r>
    <x v="19"/>
    <s v="LIMPIEZA Y LUBRICACION CADENA DE RODILLO TRAP TARIMAS"/>
    <s v="Preventivo"/>
    <x v="1"/>
    <x v="34"/>
    <n v="1"/>
    <n v="1.5"/>
    <m/>
    <x v="24"/>
    <n v="1.5"/>
    <s v="SE LUBRICARON Y SE INSPECCIONO QUE ESTUVIESE ALINEADO"/>
    <x v="0"/>
  </r>
  <r>
    <x v="19"/>
    <s v="LIMPIEZA, AJUSTE Y COMPROBACION DE FUNCIONAMIENTO DE SENSORES Y REFLECTIVOS DE MAQUINA"/>
    <s v="Preventivo"/>
    <x v="1"/>
    <x v="34"/>
    <n v="1"/>
    <n v="1"/>
    <m/>
    <x v="24"/>
    <n v="1"/>
    <s v="SE LIMPIARON Y SE ALINEARON CADA UNO DE ELLOS"/>
    <x v="0"/>
  </r>
  <r>
    <x v="19"/>
    <s v="LIMPIEZA Y LUBRICACIÓN GUIAS DE SEGUIDOR LEVA CABEZAL"/>
    <s v="Preventivo"/>
    <x v="1"/>
    <x v="34"/>
    <n v="1"/>
    <n v="2"/>
    <m/>
    <x v="24"/>
    <n v="1.5"/>
    <s v="FALTO QUITAR EL EXCESO DE GRASA POR FALTA DE WIPE, SE REALIZO LIMPIEZA EN LOS RODILLOS DE LA MESA Y SE LUBRICO"/>
    <x v="0"/>
  </r>
  <r>
    <x v="26"/>
    <s v="LIMPIEZA Y LUBRICACION CADENA DE RODILLO TRAP TARIMAS"/>
    <s v="Preventivo"/>
    <x v="1"/>
    <x v="30"/>
    <n v="1"/>
    <n v="1.5"/>
    <m/>
    <x v="24"/>
    <m/>
    <s v="SE QUITÓ PLÁSTICO ATASCADO EN PIÑONES SE LIMPIO PARA APLICAR LUBRICACION NUEVA"/>
    <x v="0"/>
  </r>
  <r>
    <x v="26"/>
    <s v="LIMPIEZA, REAPRETE Y COMPROBACION DE FUNCIONAMIENTO DE SENSORES Y REFLECTIVOS DE MAQUINA"/>
    <s v="Preventivo"/>
    <x v="1"/>
    <x v="30"/>
    <n v="1"/>
    <n v="1"/>
    <m/>
    <x v="24"/>
    <m/>
    <s v="CON WIPE DE LIMPIARON FOTOCELDAS PARA EVITAR FALLAS Y SE LIMPIARON LOS ESPEJOS Y SE LES QUITO TELAS DE ARAÑA"/>
    <x v="0"/>
  </r>
  <r>
    <x v="26"/>
    <s v="LIMPIEZA Y LUBRICACIÓN GUIAS DE SEGUIDOR LEVA CABEZAL"/>
    <s v="Preventivo"/>
    <x v="1"/>
    <x v="30"/>
    <n v="1"/>
    <n v="2"/>
    <m/>
    <x v="24"/>
    <m/>
    <s v="CON LAS ESPATULAS SE QUITO LA GRASA VIEJA SE APLICO OTRA CAPA DE GRASA NUEVA QUEDANDO BIEN ENGRASADO LAS GUIAS DE CABEZAL"/>
    <x v="0"/>
  </r>
  <r>
    <x v="20"/>
    <s v="REVISION Y CIERRE DE FUGAS EN TULIPAS DE CABEZAL"/>
    <s v="Preventivo"/>
    <x v="1"/>
    <x v="9"/>
    <n v="1"/>
    <n v="1"/>
    <m/>
    <x v="24"/>
    <n v="1"/>
    <s v="TIENEN FUGAS POR VASTAGOS Y CAMPANAS DETERIORADOS"/>
    <x v="0"/>
  </r>
  <r>
    <x v="20"/>
    <s v="LIMPIEZA Y LUBRICACIÓN GUIAS DE SEGUIDOR LEVA CABEZAL"/>
    <s v="Preventivo"/>
    <x v="1"/>
    <x v="9"/>
    <n v="1"/>
    <n v="1.5"/>
    <m/>
    <x v="24"/>
    <n v="1"/>
    <m/>
    <x v="0"/>
  </r>
  <r>
    <x v="20"/>
    <s v="LIMPIEZA, AJUSTE Y COMPROBACION DE FUNCIONAMIENTO DE SENSORES Y REFLECTIVOS DE MAQUINA"/>
    <s v="Preventivo"/>
    <x v="1"/>
    <x v="9"/>
    <n v="1"/>
    <n v="0.75"/>
    <m/>
    <x v="24"/>
    <n v="1"/>
    <m/>
    <x v="0"/>
  </r>
  <r>
    <x v="6"/>
    <s v="REVISION Y CIERRE DE FUGAS EN TULIPAS DE CABEZAL"/>
    <s v="Preventivo"/>
    <x v="1"/>
    <x v="9"/>
    <n v="1"/>
    <n v="1"/>
    <m/>
    <x v="24"/>
    <n v="1"/>
    <s v="FALTA REPARACION DE TULIPAS YA CON FUGAS SON VARIAS ES DE REVISAR Y CAMBIAR VARIAS CAMPANAS PORQUE FUGAN"/>
    <x v="0"/>
  </r>
  <r>
    <x v="6"/>
    <s v="LIMPIEZA Y LUBRICACIÓN GUIAS DE SEGUIDOR LEVA CABEZAL"/>
    <s v="Preventivo"/>
    <x v="1"/>
    <x v="9"/>
    <n v="1"/>
    <n v="1.5"/>
    <m/>
    <x v="24"/>
    <n v="1"/>
    <m/>
    <x v="0"/>
  </r>
  <r>
    <x v="6"/>
    <s v="LIMPIEZA, AJUSTE Y COMPROBACION DE FUNCIONAMIENTO DE SENSORES Y REFLECTIVOS DE MAQUINA"/>
    <s v="Preventivo"/>
    <x v="1"/>
    <x v="9"/>
    <n v="1"/>
    <n v="0.75"/>
    <m/>
    <x v="24"/>
    <d v="1899-12-31T00:00:00"/>
    <m/>
    <x v="0"/>
  </r>
  <r>
    <x v="3"/>
    <s v="MANTENIMIENTO A CILINDROS ELEVADORES DEL 8 AL 13 Y DEL 33 AL 35"/>
    <s v="Correctivo"/>
    <x v="7"/>
    <x v="41"/>
    <n v="2"/>
    <n v="11"/>
    <m/>
    <x v="24"/>
    <n v="11"/>
    <s v="SE TERMINO DE DAR MANTENIMIENTO A CILINDROS ELEVADORES"/>
    <x v="0"/>
  </r>
  <r>
    <x v="20"/>
    <s v="LIMPIEZA DE BANDEJAS DE LUBRICACION DESDE VOLTEADOR DE CAJAS HASTA LAVCAJ"/>
    <s v="Preventivo"/>
    <x v="1"/>
    <x v="9"/>
    <n v="1"/>
    <n v="2"/>
    <m/>
    <x v="24"/>
    <m/>
    <s v="SE LIMPIO CANALETA DE VOLTEADOR DE CAJA HASTA LA ENTRADA DE LAVADORA DE CAJA"/>
    <x v="0"/>
  </r>
  <r>
    <x v="6"/>
    <s v="LIMPIEZA DE BANDEJAS DE LUBRICACION DESDE LAVCAJ HASTA ENCA"/>
    <s v="Preventivo"/>
    <x v="1"/>
    <x v="9"/>
    <n v="1"/>
    <n v="2"/>
    <m/>
    <x v="24"/>
    <m/>
    <s v="SE REALIZO LIMPIEZA CON LAVADO Y SE RECOGIO BASURA"/>
    <x v="0"/>
  </r>
  <r>
    <x v="14"/>
    <m/>
    <m/>
    <x v="3"/>
    <x v="0"/>
    <m/>
    <m/>
    <m/>
    <x v="10"/>
    <m/>
    <m/>
    <x v="2"/>
  </r>
  <r>
    <x v="26"/>
    <s v="LIMPIEZA DE BANDEJAS DE LUBRICACION DESDE SALIDA DPL CAJ A DESENC"/>
    <s v="Preventivo"/>
    <x v="1"/>
    <x v="30"/>
    <n v="1"/>
    <n v="3"/>
    <m/>
    <x v="24"/>
    <m/>
    <s v="SE LAVO CON PRESION DE AGUA Y SE RECOGIO LA BASURA"/>
    <x v="0"/>
  </r>
  <r>
    <x v="19"/>
    <s v="LIMPIEZA DE BANDEJAS DE LUBRICACION DESDE ENCA HASTA PALET"/>
    <s v="Preventivo"/>
    <x v="1"/>
    <x v="34"/>
    <n v="1"/>
    <n v="4"/>
    <m/>
    <x v="24"/>
    <m/>
    <s v="SE REALIZO LIMPIEZA CON LAVADO Y SE RECOGIO BASURA"/>
    <x v="0"/>
  </r>
  <r>
    <x v="4"/>
    <s v="LIMPIEZA INTERNA DE MAQUINA Y TANQUES"/>
    <s v="Preventivo"/>
    <x v="1"/>
    <x v="23"/>
    <n v="1"/>
    <n v="5"/>
    <m/>
    <x v="24"/>
    <m/>
    <s v="LOS TANQUES SE ENCONTRARON LIMPIOS"/>
    <x v="0"/>
  </r>
  <r>
    <x v="4"/>
    <s v="LIMPIEZA DE CHORROS DE LIMPIEZA DE CAJAS "/>
    <s v="Preventivo"/>
    <x v="1"/>
    <x v="23"/>
    <n v="1"/>
    <n v="3"/>
    <m/>
    <x v="24"/>
    <d v="1900-01-03T00:00:00"/>
    <s v="SE DESMONTARON LOS INYECTORES Y SE LAVARON, SE VOLVIERON A MONTAR Y SE HIZO PRUEBA DE LA MAQUINA"/>
    <x v="0"/>
  </r>
  <r>
    <x v="2"/>
    <s v="REALIZAR CASTIGADERA A EJE DE MOTORREDUCTOR B22"/>
    <s v="Correctivo"/>
    <x v="7"/>
    <x v="3"/>
    <n v="1"/>
    <n v="1"/>
    <m/>
    <x v="24"/>
    <n v="1"/>
    <s v="SE DESCONECTARON MOTORES PARA BAJARLOS CON TODO Y EJE PARA REALIZAR CASTIGADERA"/>
    <x v="0"/>
  </r>
  <r>
    <x v="2"/>
    <s v="REALIZAR CASTIGADERA A EJE DE MOTORREDUCTOR B23"/>
    <s v="Correctivo"/>
    <x v="7"/>
    <x v="3"/>
    <n v="1"/>
    <n v="1"/>
    <m/>
    <x v="24"/>
    <n v="1"/>
    <s v="SE DESCONECTARON MOTORES PARA BAJARLOS CON TODO Y EJE PARA REALIZAR CASTIGADERA"/>
    <x v="0"/>
  </r>
  <r>
    <x v="2"/>
    <s v="REALIZAR CASTIGADERA A EJE MOTORREDUCTOR C06"/>
    <s v="Correctivo"/>
    <x v="7"/>
    <x v="3"/>
    <n v="1"/>
    <n v="1"/>
    <m/>
    <x v="24"/>
    <n v="1"/>
    <s v="SE DESCONECTARON MOTORES PARA BAJARLOS CON TODO Y EJE PARA REALIZAR CASTIGADERA"/>
    <x v="0"/>
  </r>
  <r>
    <x v="11"/>
    <s v="ENGRASE MANUAL DE SISTEMA DE LUBRICACION"/>
    <s v="Preventivo"/>
    <x v="7"/>
    <x v="29"/>
    <n v="1"/>
    <n v="7"/>
    <m/>
    <x v="27"/>
    <n v="6"/>
    <s v="SE HACE LUBRICACION DE TODOS LOS PUNTOS DE LUBRICACION Y SE HACE MANUALMENTE LA LUBRICACION DE LOS CABEZALES PORQUE LES LLEGA POCA GRASA._x000a_SE HACE CAMBIO DE MANGUERA DE 4MM POR DAÑARSE SE MONTO UNA DE 6MM PORQUE ES LO QUE HAY"/>
    <x v="0"/>
  </r>
  <r>
    <x v="0"/>
    <s v="LIMPIEZA DE TANQUE 3 DE SODA"/>
    <s v="Preventivo"/>
    <x v="1"/>
    <x v="42"/>
    <n v="3"/>
    <n v="3"/>
    <m/>
    <x v="27"/>
    <n v="6"/>
    <s v="SE REALIZO LIMPIEZA DE TANQUE SACANDO RESIDUO DE ETIQUETA, LIMPIEZA SE DEBE REALIZAR CONSTANTEMENTE CADA 15 DIAS ENVIANDO SODA A LA ISLA PARA EVITAR TAPAR LAS BOMBAS CON RESIDUOS DE ETIQUETAS Y SERVILLETAS AL IGUAL LIMPIEZA DE BARRAS Y DUCHAS HACERLA MENSUAL"/>
    <x v="0"/>
  </r>
  <r>
    <x v="43"/>
    <s v="LIMPIEZA, AJUSTE Y LUBRICACIÓN DE DESPALETIZADORA DE BOTELLAS"/>
    <s v="Preventivo"/>
    <x v="7"/>
    <x v="43"/>
    <n v="1"/>
    <n v="2"/>
    <m/>
    <x v="27"/>
    <n v="6"/>
    <m/>
    <x v="0"/>
  </r>
  <r>
    <x v="2"/>
    <s v="LIMPIEZA DE CADENAS Y BANDEJAS TRAMO SALIDA DESENCA  A VOLTEADOR DE CAJAS"/>
    <s v="Preventivo"/>
    <x v="1"/>
    <x v="0"/>
    <n v="2"/>
    <n v="4"/>
    <m/>
    <x v="27"/>
    <n v="3"/>
    <s v="LIMPIEZA EN TRANSPORTE Y CADENAS CON ENFORCE, AGUA Y SE LAVO CON ESCOBA POR FALTA DE HIDROLAVADORA"/>
    <x v="0"/>
  </r>
  <r>
    <x v="2"/>
    <s v="LIMPIEZA DE CADENAS Y BANDEJAS TRAMO SALIDA VOLTEADOR DE CAJAS A LAVCAJ"/>
    <s v="Preventivo"/>
    <x v="1"/>
    <x v="0"/>
    <n v="3"/>
    <n v="5"/>
    <m/>
    <x v="27"/>
    <n v="1.5"/>
    <s v="SE DESMONTO CADENA DE VOLTEADOR HASTA ENTRADA DE LAVADORA DE CAJAS_x000a_SE LIMPIO CON DESENGRASANTE"/>
    <x v="0"/>
  </r>
  <r>
    <x v="2"/>
    <s v="LIMPIEZA DE CADENAS Y BANDEJAS TRAMO SALIDA ENCA A PALET"/>
    <s v="Preventivo"/>
    <x v="1"/>
    <x v="0"/>
    <n v="4"/>
    <n v="5"/>
    <m/>
    <x v="27"/>
    <m/>
    <m/>
    <x v="1"/>
  </r>
  <r>
    <x v="0"/>
    <s v="DRENO DE LAVADORA DE BOTELLAS"/>
    <s v="Preventivo"/>
    <x v="7"/>
    <x v="44"/>
    <n v="1"/>
    <n v="5"/>
    <m/>
    <x v="27"/>
    <n v="5"/>
    <s v="SE LOGRARON PONER TRES LAMINAS QUEDA UNA PENDIENTE"/>
    <x v="0"/>
  </r>
  <r>
    <x v="42"/>
    <s v="COLOCACION DE LAMINA A MESA PORTACABEZALES"/>
    <s v="Preventivo"/>
    <x v="7"/>
    <x v="44"/>
    <n v="1"/>
    <n v="2"/>
    <m/>
    <x v="27"/>
    <n v="4"/>
    <s v="SE TERMINO ACTIVIDAD"/>
    <x v="0"/>
  </r>
  <r>
    <x v="2"/>
    <s v="MANTENIMIENTO A RODILLOS TENSORES Y RUEDAS DE RETORNO TRAMO ENCA A PALET"/>
    <s v="Preventivo"/>
    <x v="7"/>
    <x v="43"/>
    <n v="1"/>
    <n v="5"/>
    <m/>
    <x v="27"/>
    <n v="0.5"/>
    <m/>
    <x v="0"/>
  </r>
  <r>
    <x v="2"/>
    <s v="MANTENIMIENTO A RODILLOS TENSORES Y RUEDAS DE RETORNO TRAMO LAVCAJ A ENCA"/>
    <s v="Preventivo"/>
    <x v="7"/>
    <x v="3"/>
    <n v="1"/>
    <n v="7"/>
    <m/>
    <x v="27"/>
    <m/>
    <m/>
    <x v="1"/>
  </r>
  <r>
    <x v="6"/>
    <s v="LIMPIEZA E INSPECCION DE SENSORES Y CONTECTORES "/>
    <s v="Preventivo"/>
    <x v="6"/>
    <x v="22"/>
    <n v="1"/>
    <n v="3.5"/>
    <m/>
    <x v="27"/>
    <n v="4"/>
    <s v="LOS SENSORES MAGNETICOS DEL PISTON DEL LADO IZQUIERDO NO SE ESTAN UTILIZANDO, DEL CENTRADOR DE CAJAS"/>
    <x v="0"/>
  </r>
  <r>
    <x v="44"/>
    <s v="REVISION Y LIMPIEZA DE SENSORES FOTOELECTRICOS Y CONECTORES"/>
    <s v="Preventivo"/>
    <x v="6"/>
    <x v="17"/>
    <n v="1"/>
    <n v="5"/>
    <m/>
    <x v="27"/>
    <n v="4"/>
    <s v="SE RE APRETARON ESPEJOS Y SENSORES QUE ESTABAN FLOJOS Y QUEDO SOLO UNO CON ESPEJO QUE LE HAN PUESTO LOS OPERADORES Y LOS DEMAS SE REALIZO CORRECTAMENTE"/>
    <x v="0"/>
  </r>
  <r>
    <x v="45"/>
    <s v="REVISION Y LIMPIEZA DE SENSORES DE BALANCINES Y CONECTORES M12"/>
    <s v="Preventivo"/>
    <x v="6"/>
    <x v="40"/>
    <n v="1"/>
    <n v="7"/>
    <m/>
    <x v="27"/>
    <n v="6"/>
    <s v="SE REALIZO REVISIÓN Y SE CORRIGIERON LAS ANOMALIAS"/>
    <x v="0"/>
  </r>
  <r>
    <x v="2"/>
    <s v="REVISION DE SPROCKETS DE MOTOR B23 TRAMO LLEN A PAST"/>
    <s v="Preventivo"/>
    <x v="7"/>
    <x v="21"/>
    <n v="1"/>
    <n v="1"/>
    <m/>
    <x v="27"/>
    <n v="1"/>
    <m/>
    <x v="0"/>
  </r>
  <r>
    <x v="2"/>
    <s v="REPARACION DE PLACA MUERTA TRAMO LLEN A PAST"/>
    <s v="Preventivo"/>
    <x v="7"/>
    <x v="21"/>
    <n v="1"/>
    <n v="3"/>
    <m/>
    <x v="27"/>
    <n v="3"/>
    <s v="SE FABRICO PLACA MUERTA NUEVA Y SE PROBO"/>
    <x v="0"/>
  </r>
  <r>
    <x v="0"/>
    <s v="REPARACION DE FUGA DE BOMBA TANQUE #3"/>
    <s v="Preventivo"/>
    <x v="7"/>
    <x v="21"/>
    <n v="1"/>
    <n v="3"/>
    <m/>
    <x v="27"/>
    <n v="3"/>
    <s v="SE CAMBIO SELLO MECANICO"/>
    <x v="0"/>
  </r>
  <r>
    <x v="0"/>
    <s v="CAMBIO DE RETENEDOR R1 135X170X12"/>
    <s v="Correctivo"/>
    <x v="7"/>
    <x v="29"/>
    <n v="1"/>
    <n v="1.5"/>
    <m/>
    <x v="25"/>
    <n v="1.5"/>
    <s v="SE CAMBIO RETENEDOR"/>
    <x v="0"/>
  </r>
  <r>
    <x v="3"/>
    <s v="LUBRICACION SEMANAL DE LLENADORA"/>
    <s v="Preventivo"/>
    <x v="1"/>
    <x v="0"/>
    <n v="1"/>
    <n v="4"/>
    <m/>
    <x v="28"/>
    <m/>
    <s v="SE REALIZO LUBRICACION DE LLEN"/>
    <x v="0"/>
  </r>
  <r>
    <x v="26"/>
    <s v="LIMPIEZA Y LUBRICACION DE CADENA DOBLE DE MESA DE RODILLOS"/>
    <s v="Preventivo"/>
    <x v="1"/>
    <x v="0"/>
    <n v="1"/>
    <n v="2"/>
    <m/>
    <x v="28"/>
    <m/>
    <s v="NO SE REALIZO PORQUE NO HAY LUBRICANTE EN BODEGA"/>
    <x v="4"/>
  </r>
  <r>
    <x v="19"/>
    <s v="LIMPIEZA Y LUBRICACION CADENA DE RODILLO TRAP TARIMAS"/>
    <s v="Preventivo"/>
    <x v="1"/>
    <x v="0"/>
    <n v="1"/>
    <n v="1.5"/>
    <m/>
    <x v="28"/>
    <m/>
    <s v="NO SE REALIZO PORQUE NO HUBO OPERADOR"/>
    <x v="4"/>
  </r>
  <r>
    <x v="19"/>
    <s v="LIMPIEZA, AJUSTE Y COMPROBACION DE FUNCIONAMIENTO DE SENSORES Y REFLECTIVOS DE MAQUINA"/>
    <s v="Preventivo"/>
    <x v="1"/>
    <x v="0"/>
    <n v="1"/>
    <n v="1"/>
    <m/>
    <x v="28"/>
    <m/>
    <s v="NO SE REALIZO PORQUE NO HUBO OPERADOR"/>
    <x v="4"/>
  </r>
  <r>
    <x v="19"/>
    <s v="LIMPIEZA Y LUBRICACIÓN GUIAS DE SEGUIDOR LEVA CABEZAL"/>
    <s v="Preventivo"/>
    <x v="1"/>
    <x v="0"/>
    <n v="1"/>
    <n v="2"/>
    <m/>
    <x v="28"/>
    <m/>
    <s v="NO SE REALIZO PORQUE NO HUBO OPERADOR"/>
    <x v="4"/>
  </r>
  <r>
    <x v="26"/>
    <s v="LIMPIEZA Y LUBRICACION CADENA DE RODILLO TRAP TARIMAS"/>
    <s v="Preventivo"/>
    <x v="1"/>
    <x v="0"/>
    <n v="1"/>
    <n v="1.5"/>
    <m/>
    <x v="28"/>
    <m/>
    <s v="NO SE REALIZO POR FALTA DE LUBRICANTE"/>
    <x v="4"/>
  </r>
  <r>
    <x v="26"/>
    <s v="LIMPIEZA, REAPRETE Y COMPROBACION DE FUNCIONAMIENTO DE SENSORES Y REFLECTIVOS DE MAQUINA"/>
    <s v="Preventivo"/>
    <x v="1"/>
    <x v="0"/>
    <n v="1"/>
    <n v="1"/>
    <m/>
    <x v="28"/>
    <m/>
    <s v="SE REALIZO LIMPIEZA Y AJUSTE"/>
    <x v="0"/>
  </r>
  <r>
    <x v="26"/>
    <s v="LIMPIEZA Y LUBRICACIÓN GUIAS DE SEGUIDOR LEVA CABEZAL"/>
    <s v="Preventivo"/>
    <x v="1"/>
    <x v="0"/>
    <n v="1"/>
    <n v="2"/>
    <m/>
    <x v="28"/>
    <m/>
    <s v="SE REALIZO LIMPIEZA DE GUIAS Y LUBRICACION, SE UTILIZO DESENGRASANTE"/>
    <x v="0"/>
  </r>
  <r>
    <x v="20"/>
    <s v="REVISION Y CIERRE DE FUGAS EN TULIPAS DE CABEZAL"/>
    <s v="Preventivo"/>
    <x v="1"/>
    <x v="0"/>
    <n v="1"/>
    <n v="1"/>
    <m/>
    <x v="28"/>
    <m/>
    <m/>
    <x v="1"/>
  </r>
  <r>
    <x v="20"/>
    <s v="LIMPIEZA Y LUBRICACIÓN GUIAS DE SEGUIDOR LEVA CABEZAL"/>
    <s v="Preventivo"/>
    <x v="1"/>
    <x v="0"/>
    <n v="1"/>
    <n v="1.5"/>
    <m/>
    <x v="28"/>
    <m/>
    <m/>
    <x v="1"/>
  </r>
  <r>
    <x v="20"/>
    <s v="LIMPIEZA, AJUSTE Y COMPROBACION DE FUNCIONAMIENTO DE SENSORES Y REFLECTIVOS DE MAQUINA"/>
    <s v="Preventivo"/>
    <x v="1"/>
    <x v="0"/>
    <n v="1"/>
    <n v="0.75"/>
    <m/>
    <x v="28"/>
    <m/>
    <m/>
    <x v="1"/>
  </r>
  <r>
    <x v="6"/>
    <s v="REVISION Y CIERRE DE FUGAS EN TULIPAS DE CABEZAL"/>
    <s v="Preventivo"/>
    <x v="1"/>
    <x v="0"/>
    <n v="1"/>
    <n v="1"/>
    <m/>
    <x v="28"/>
    <m/>
    <m/>
    <x v="1"/>
  </r>
  <r>
    <x v="6"/>
    <s v="LIMPIEZA Y LUBRICACIÓN GUIAS DE SEGUIDOR LEVA CABEZAL"/>
    <s v="Preventivo"/>
    <x v="1"/>
    <x v="0"/>
    <n v="1"/>
    <n v="1.5"/>
    <m/>
    <x v="28"/>
    <m/>
    <m/>
    <x v="1"/>
  </r>
  <r>
    <x v="6"/>
    <s v="LIMPIEZA, AJUSTE Y COMPROBACION DE FUNCIONAMIENTO DE SENSORES Y REFLECTIVOS DE MAQUINA"/>
    <s v="Preventivo"/>
    <x v="1"/>
    <x v="0"/>
    <n v="1"/>
    <n v="0.75"/>
    <m/>
    <x v="28"/>
    <m/>
    <m/>
    <x v="1"/>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11"/>
    <s v="LIMPIEZA DE TULIPAS, DE PALPADORES, DE CILINDRO DE TRANSFERENCIA Y ESPONJAS"/>
    <s v="Preventivo"/>
    <x v="1"/>
    <x v="0"/>
    <n v="1"/>
    <n v="2"/>
    <m/>
    <x v="28"/>
    <m/>
    <m/>
    <x v="0"/>
  </r>
  <r>
    <x v="11"/>
    <s v="LUBRICAR EL EJE MOTRIZ DEL TORNILLO SINFIN DE LA ZONA DE ENTRADA"/>
    <s v="Preventivo"/>
    <x v="1"/>
    <x v="0"/>
    <n v="1"/>
    <n v="0.5"/>
    <m/>
    <x v="28"/>
    <m/>
    <m/>
    <x v="0"/>
  </r>
  <r>
    <x v="11"/>
    <s v="LUBRICAR LOS RODAMIENTOS DE LOS PORTAENVASES DE LA MESA PORTAENVASE"/>
    <s v="Preventivo"/>
    <x v="1"/>
    <x v="0"/>
    <n v="1"/>
    <n v="1"/>
    <m/>
    <x v="28"/>
    <m/>
    <m/>
    <x v="0"/>
  </r>
  <r>
    <x v="11"/>
    <s v="LUBRICAR HUSILLO DEL SISTEMA DE AJUSTE DE ALTURA"/>
    <s v="Preventivo"/>
    <x v="1"/>
    <x v="0"/>
    <n v="1"/>
    <n v="0.5"/>
    <m/>
    <x v="28"/>
    <m/>
    <m/>
    <x v="0"/>
  </r>
  <r>
    <x v="11"/>
    <s v="CAMBIO DE ESPONJAS PRESENTACION 750ML"/>
    <s v="Preventivo"/>
    <x v="1"/>
    <x v="0"/>
    <n v="1"/>
    <n v="3"/>
    <m/>
    <x v="28"/>
    <m/>
    <m/>
    <x v="0"/>
  </r>
  <r>
    <x v="17"/>
    <m/>
    <m/>
    <x v="3"/>
    <x v="0"/>
    <m/>
    <m/>
    <m/>
    <x v="10"/>
    <m/>
    <m/>
    <x v="2"/>
  </r>
  <r>
    <x v="22"/>
    <s v="LIMPIEZA AJUSTE E INSPECCION DE SENSORES DE MAQUINA Y REFLECTIVOS"/>
    <s v="Preventivo"/>
    <x v="1"/>
    <x v="0"/>
    <n v="1"/>
    <n v="1"/>
    <m/>
    <x v="28"/>
    <m/>
    <m/>
    <x v="0"/>
  </r>
  <r>
    <x v="22"/>
    <s v="LIMPIEZA DE VIDRIOS PROTECTORES, ESPEJOS DE REFLEXIÓN Y POLEAS DE CORREA"/>
    <s v="Preventivo"/>
    <x v="1"/>
    <x v="0"/>
    <n v="1"/>
    <n v="0.5"/>
    <m/>
    <x v="28"/>
    <m/>
    <m/>
    <x v="0"/>
  </r>
  <r>
    <x v="22"/>
    <s v="LIMPIEZA Y LUBRICACION DE CADENA DE TRACCION PRINCIPAL DE MAQUINA"/>
    <s v="Preventivo"/>
    <x v="1"/>
    <x v="0"/>
    <n v="1"/>
    <n v="1"/>
    <m/>
    <x v="28"/>
    <m/>
    <m/>
    <x v="0"/>
  </r>
  <r>
    <x v="22"/>
    <s v="LIMPIEZA DE MOTORES DE ENTRADA Y SALIDA DE MAQUINA"/>
    <s v="Preventivo"/>
    <x v="1"/>
    <x v="0"/>
    <n v="1"/>
    <n v="1"/>
    <m/>
    <x v="28"/>
    <m/>
    <m/>
    <x v="0"/>
  </r>
  <r>
    <x v="19"/>
    <s v="LIMPIEZA Y LUBRICACION DE CADENA DOBLE DE MESA DE RODILLOS"/>
    <s v="Preventivo"/>
    <x v="1"/>
    <x v="0"/>
    <n v="1"/>
    <n v="2"/>
    <m/>
    <x v="28"/>
    <m/>
    <m/>
    <x v="1"/>
  </r>
  <r>
    <x v="0"/>
    <s v="CAMBIO DE RETENEDOR R2 118X150X12"/>
    <s v="Correctivo"/>
    <x v="7"/>
    <x v="29"/>
    <n v="1"/>
    <n v="1.5"/>
    <m/>
    <x v="25"/>
    <n v="1.5"/>
    <s v="SE CAMBIO RETENEDOR"/>
    <x v="0"/>
  </r>
  <r>
    <x v="0"/>
    <s v="REVISION Y CAMBIO DE EMPAQUE DE CAJA R3"/>
    <s v="Correctivo"/>
    <x v="7"/>
    <x v="29"/>
    <n v="1"/>
    <n v="2"/>
    <m/>
    <x v="25"/>
    <n v="2"/>
    <s v="SE LE CAMBIO EMPAQUE Y QUEDA SELLADO"/>
    <x v="0"/>
  </r>
  <r>
    <x v="0"/>
    <s v="REVISION Y CAMBIO DE EMPAQUE DE CAJA R4"/>
    <s v="Correctivo"/>
    <x v="7"/>
    <x v="29"/>
    <n v="1"/>
    <n v="2"/>
    <m/>
    <x v="25"/>
    <n v="2"/>
    <s v="SE LE CAMBIO EMPAQUE Y QUEDA SELLADO"/>
    <x v="0"/>
  </r>
  <r>
    <x v="0"/>
    <s v="ENDEREZADO DE CANALETA ELECTRICA EXTRACTOR #3"/>
    <s v="Correctivo"/>
    <x v="6"/>
    <x v="21"/>
    <n v="1"/>
    <n v="2"/>
    <m/>
    <x v="25"/>
    <n v="2"/>
    <s v="SE ENDEREZÓ CANALETA ELECTRICA"/>
    <x v="0"/>
  </r>
  <r>
    <x v="6"/>
    <s v="ENDEREZADO DE CANALETA ELECTRICA MESA DE MAQUINA"/>
    <s v="Correctivo"/>
    <x v="6"/>
    <x v="21"/>
    <n v="1"/>
    <n v="2"/>
    <m/>
    <x v="25"/>
    <m/>
    <m/>
    <x v="4"/>
  </r>
  <r>
    <x v="20"/>
    <s v="CABLEADO Y CONEXION DESDE LLENADORA A CCM ELAB"/>
    <s v="Correctivo"/>
    <x v="6"/>
    <x v="43"/>
    <n v="1"/>
    <n v="9"/>
    <m/>
    <x v="25"/>
    <m/>
    <m/>
    <x v="4"/>
  </r>
  <r>
    <x v="3"/>
    <s v="REVISION DE CILINDROS DE ELEVACION 55, 9 Y 38"/>
    <s v="Correctivo"/>
    <x v="7"/>
    <x v="44"/>
    <n v="1"/>
    <n v="9"/>
    <m/>
    <x v="25"/>
    <n v="9"/>
    <s v="SE LE CAMBIARON COMPONENTES A CILINDRO 38"/>
    <x v="0"/>
  </r>
  <r>
    <x v="6"/>
    <s v="CAMBIO DE RACORES PARA VASTAGOS EN CABEZALES DE TULIPAS"/>
    <s v="Correctivo"/>
    <x v="1"/>
    <x v="9"/>
    <n v="1"/>
    <n v="0.5"/>
    <m/>
    <x v="28"/>
    <m/>
    <s v="SE CAMBIARON RACORES"/>
    <x v="0"/>
  </r>
  <r>
    <x v="20"/>
    <s v="CAMBIO DE RACORES PARA VASTAGOS EN CABEZALES DE TULIPAS"/>
    <s v="Correctivo"/>
    <x v="1"/>
    <x v="9"/>
    <n v="1"/>
    <n v="0.5"/>
    <m/>
    <x v="28"/>
    <m/>
    <s v="SE CAMBIARON RACORES"/>
    <x v="0"/>
  </r>
  <r>
    <x v="0"/>
    <s v="AISLAR MANOMETROS CON VALVULA DE BOLA DE TK1, 2 Y 3"/>
    <s v="Preventivo"/>
    <x v="7"/>
    <x v="3"/>
    <n v="1"/>
    <n v="1"/>
    <m/>
    <x v="25"/>
    <n v="1"/>
    <s v="SE AISLARON MANOMETROS"/>
    <x v="0"/>
  </r>
  <r>
    <x v="0"/>
    <s v="REFUERZO DE GUIAS CURVAS METALICAS MESA DE ENTRADA"/>
    <s v="Preventivo"/>
    <x v="7"/>
    <x v="3"/>
    <n v="1"/>
    <n v="5"/>
    <m/>
    <x v="25"/>
    <m/>
    <m/>
    <x v="4"/>
  </r>
  <r>
    <x v="14"/>
    <s v="MANTENIMIENTO Y MONTAJE A 4 RODILLOS DE MESA DE RODILLOS DPL CAJ"/>
    <s v="Correctivo"/>
    <x v="7"/>
    <x v="21"/>
    <n v="1"/>
    <n v="2"/>
    <m/>
    <x v="25"/>
    <n v="2"/>
    <s v="SE REALIZO EL MONTAJE DE 3 RODILLOS PERO SE DESMONTARON 2 MÁS"/>
    <x v="3"/>
  </r>
  <r>
    <x v="6"/>
    <s v="CAMBIO DE CHUMACERA UC211 Y REVISION DE LUBRICACION"/>
    <s v="Correctivo"/>
    <x v="7"/>
    <x v="21"/>
    <n v="1"/>
    <n v="3"/>
    <m/>
    <x v="25"/>
    <n v="3"/>
    <s v="SE REALIZO EL CAMBIO DE LA CHUMACERA Y SE AJUSTO EL SISTEMA DE ENGRASE AUTOMATICO, QUEDA FUNCIONANDO"/>
    <x v="0"/>
  </r>
  <r>
    <x v="0"/>
    <s v="REVISION DE NIVEL DE ACEITE Y ESTADO DE R1 A R5"/>
    <s v="Preventivo"/>
    <x v="7"/>
    <x v="29"/>
    <n v="1"/>
    <n v="0.5"/>
    <m/>
    <x v="25"/>
    <n v="0.5"/>
    <s v="SE REVISARON LOS NIVELES DE ACEITE "/>
    <x v="0"/>
  </r>
  <r>
    <x v="10"/>
    <s v="INSTALACION DE ACCESORIOS PARA COLOCAR PRESOSTATO"/>
    <s v="Preventivo"/>
    <x v="7"/>
    <x v="3"/>
    <n v="1"/>
    <n v="3"/>
    <m/>
    <x v="25"/>
    <m/>
    <s v="NO SE PUDO REALIZAR SE REPROGRAMARA"/>
    <x v="4"/>
  </r>
  <r>
    <x v="0"/>
    <s v="VERIFICACION DE ALINEAMIENTO DE CHORROS DE ENJUAGUE TK1, TK2, TK3, PREENJUAGUE Y ENJUAGUE FINAL"/>
    <s v="Preventivo"/>
    <x v="7"/>
    <x v="45"/>
    <n v="2"/>
    <n v="9"/>
    <m/>
    <x v="29"/>
    <n v="4"/>
    <s v="SE FABRICO PUNTA PARA REALIZAR LA INSPECCION DE LA ALINEACION"/>
    <x v="0"/>
  </r>
  <r>
    <x v="46"/>
    <s v="DESMONTAJE, LIMPIEZA E INSPECCION DE CADENAS, GUIAS DE DESLIZAMIENTO Y GUIAS LATERALES"/>
    <s v="Preventivo"/>
    <x v="1"/>
    <x v="0"/>
    <m/>
    <m/>
    <m/>
    <x v="10"/>
    <m/>
    <m/>
    <x v="2"/>
  </r>
  <r>
    <x v="0"/>
    <s v="INSPECCION DE ESTADO DE GUIAS, RODILLOS Y ESLABONES DE CADENA PORTA CANASTOS"/>
    <s v="Preventivo"/>
    <x v="7"/>
    <x v="3"/>
    <n v="1"/>
    <n v="1"/>
    <m/>
    <x v="29"/>
    <n v="1"/>
    <s v="SE REALIZO INSPECCION "/>
    <x v="0"/>
  </r>
  <r>
    <x v="20"/>
    <s v="INSPECCION DE ESTADO DE CHUMACERAS UC211 Y REHABILITACION DE SISTEMA DE LUBRICACION"/>
    <s v="Correctivo"/>
    <x v="7"/>
    <x v="46"/>
    <n v="2"/>
    <n v="9"/>
    <m/>
    <x v="29"/>
    <m/>
    <s v="SE REPROGRAMARA ACTIVIDAD POR APOYO EN ENFILADOR Y CAMBIO DE COMPONENTES"/>
    <x v="4"/>
  </r>
  <r>
    <x v="11"/>
    <s v="LUBRICACION MANUAL DE COMPONENTES Y CAMBIO DE TUBBING"/>
    <s v="Correctivo"/>
    <x v="7"/>
    <x v="29"/>
    <n v="1"/>
    <n v="5"/>
    <m/>
    <x v="29"/>
    <n v="4"/>
    <s v="SE REALIZO LUBRICACION Y CAMBIO DE COMPONENTES TUBBING"/>
    <x v="0"/>
  </r>
  <r>
    <x v="26"/>
    <s v="MONTAJE DE RODILLOS DE MESA DE CARGA DE CAJA "/>
    <s v="Correctivo"/>
    <x v="7"/>
    <x v="29"/>
    <n v="1"/>
    <n v="2.5"/>
    <m/>
    <x v="29"/>
    <m/>
    <s v="SE REPROGRAMARA ACTIVIDAD POR APOYO EN ENFILADOR Y CAMBIO DE COMPONENTES"/>
    <x v="4"/>
  </r>
  <r>
    <x v="19"/>
    <s v="REALIZAR CASTIGADERA A PIÑON DE ELEVACION DE PALET"/>
    <s v="Preventivo"/>
    <x v="7"/>
    <x v="3"/>
    <n v="1"/>
    <n v="2.5"/>
    <m/>
    <x v="29"/>
    <m/>
    <m/>
    <x v="1"/>
  </r>
  <r>
    <x v="6"/>
    <s v="REALIZAR CASTIGADERA A PIÑON DE ELEVACION DE ENCAJONADORA"/>
    <s v="Preventivo"/>
    <x v="7"/>
    <x v="3"/>
    <n v="1"/>
    <n v="2.5"/>
    <m/>
    <x v="29"/>
    <n v="2"/>
    <s v="SE REALIZO CASTIGADERA PARA PIÑON DE ELEVACIÓN"/>
    <x v="0"/>
  </r>
  <r>
    <x v="20"/>
    <s v="REALIZAR CASTIGADERA A PIÑON DE ELEVACION DE DESENCAJONADORA"/>
    <s v="Preventivo"/>
    <x v="7"/>
    <x v="3"/>
    <n v="1"/>
    <n v="2.5"/>
    <m/>
    <x v="29"/>
    <n v="2"/>
    <s v="SE REALIZO CASTIGADERA PARA PIÑON DE ELEVACIÓN"/>
    <x v="0"/>
  </r>
  <r>
    <x v="47"/>
    <s v="REALIZAR CASTIGADERA A EJE MOTORREDUCTOR C13"/>
    <s v="Preventivo"/>
    <x v="7"/>
    <x v="29"/>
    <n v="1"/>
    <n v="1.5"/>
    <m/>
    <x v="29"/>
    <n v="1"/>
    <s v="SE REALIZO CASTIGADERA PARA EJE"/>
    <x v="0"/>
  </r>
  <r>
    <x v="48"/>
    <s v="LIMPIEZA DE CONECTORES DE SENSORES DPL CAJA"/>
    <s v="Preventivo"/>
    <x v="2"/>
    <x v="40"/>
    <n v="1"/>
    <n v="2.5"/>
    <m/>
    <x v="29"/>
    <n v="1"/>
    <s v="SE LIMPIO EXTERNO E INTERNO"/>
    <x v="0"/>
  </r>
  <r>
    <x v="25"/>
    <s v="LIMPIEZA DE CONECTORES DE SENSORES DPL BOT"/>
    <s v="Preventivo"/>
    <x v="2"/>
    <x v="40"/>
    <n v="1"/>
    <n v="2.5"/>
    <m/>
    <x v="29"/>
    <n v="1"/>
    <s v="SE LIMPIO INTERNO Y EXTERNO"/>
    <x v="0"/>
  </r>
  <r>
    <x v="19"/>
    <s v="LIMPIEZA DE CONECTORES DE SENSORES PLT"/>
    <s v="Preventivo"/>
    <x v="2"/>
    <x v="40"/>
    <n v="1"/>
    <n v="2.5"/>
    <m/>
    <x v="29"/>
    <n v="1"/>
    <s v="SE REALIZO LIMPIEZA INTERNA Y EXTERNA"/>
    <x v="0"/>
  </r>
  <r>
    <x v="49"/>
    <s v="LIMPIEZA DE CONECTORES DE SENSORES DE BALANCINES "/>
    <s v="Preventivo"/>
    <x v="2"/>
    <x v="22"/>
    <n v="1"/>
    <n v="9"/>
    <m/>
    <x v="29"/>
    <n v="7.5"/>
    <s v="SE REALIZO LIMPIEZA INTERNA Y EXTERNA"/>
    <x v="0"/>
  </r>
  <r>
    <x v="6"/>
    <s v="LIMPIEZA DE CONECTORES DE SENSORES ENCAJONADORA"/>
    <s v="Preventivo"/>
    <x v="2"/>
    <x v="17"/>
    <n v="1"/>
    <n v="2.5"/>
    <m/>
    <x v="29"/>
    <n v="1.5"/>
    <s v="SE DESCONECTA SENSORES PARA REALIZAR LIMPIADO DE CONTACTOS"/>
    <x v="0"/>
  </r>
  <r>
    <x v="20"/>
    <s v="LIMPIEZA DE CONECTORES DE SENSORES DESENCAJONADORA"/>
    <s v="Preventivo"/>
    <x v="2"/>
    <x v="17"/>
    <n v="1"/>
    <n v="2.5"/>
    <m/>
    <x v="29"/>
    <n v="1.5"/>
    <s v="SE DESCONECTA SENSORES PARA REALIZAR LIMPIADO DE CONTACTOS"/>
    <x v="0"/>
  </r>
  <r>
    <x v="0"/>
    <s v="LIMPIEZA DE CONECTORES DE SENSORES LAVADORA DE BOTELLAS"/>
    <s v="Preventivo"/>
    <x v="2"/>
    <x v="17"/>
    <n v="1"/>
    <n v="2.5"/>
    <m/>
    <x v="29"/>
    <n v="1.5"/>
    <s v="SE DESCONECTA SENSORES PARA REALIZAR LIMPIADO DE CONTACTOS"/>
    <x v="0"/>
  </r>
  <r>
    <x v="11"/>
    <s v="LIMPIEZA DE CONECTORES DE SENSORES DE ETIQUETADORA"/>
    <s v="Preventivo"/>
    <x v="2"/>
    <x v="17"/>
    <n v="1"/>
    <n v="1.5"/>
    <m/>
    <x v="29"/>
    <n v="1"/>
    <s v="SE REALIZO LIMPIEZA INTERNA Y EXTERNA"/>
    <x v="0"/>
  </r>
  <r>
    <x v="50"/>
    <s v="MONTAJE DE PIÑONES Y CADENAS DE ENFILADOR"/>
    <s v="Preventivo"/>
    <x v="7"/>
    <x v="46"/>
    <n v="1"/>
    <n v="9"/>
    <m/>
    <x v="29"/>
    <n v="9"/>
    <s v="SE CERRO ENFILADOR"/>
    <x v="0"/>
  </r>
  <r>
    <x v="19"/>
    <s v="REALIZAR CASTIGADERA A PIÑON DE ELEVACION DE PALET"/>
    <s v="Preventivo"/>
    <x v="7"/>
    <x v="3"/>
    <n v="1"/>
    <n v="2.5"/>
    <m/>
    <x v="30"/>
    <d v="1900-01-01T00:00:00"/>
    <s v="SE REALIZO CASTIGADERA"/>
    <x v="0"/>
  </r>
  <r>
    <x v="19"/>
    <s v="MONTAJE DE MOTORREDUCTOR DE ELEVACION"/>
    <s v="Preventivo"/>
    <x v="7"/>
    <x v="3"/>
    <n v="2"/>
    <n v="5"/>
    <m/>
    <x v="30"/>
    <n v="4"/>
    <s v="SE MONTO MOTORREDUCTOR DE PALETIZADORA"/>
    <x v="0"/>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17"/>
    <m/>
    <m/>
    <x v="3"/>
    <x v="0"/>
    <m/>
    <m/>
    <m/>
    <x v="10"/>
    <m/>
    <m/>
    <x v="2"/>
  </r>
  <r>
    <x v="42"/>
    <s v="CAMBIO DE CONECTORES A IP69 DE BALANCINES"/>
    <s v="Preventivo"/>
    <x v="2"/>
    <x v="0"/>
    <n v="1"/>
    <m/>
    <m/>
    <x v="31"/>
    <m/>
    <m/>
    <x v="1"/>
  </r>
  <r>
    <x v="42"/>
    <s v="REALIZAR CASTIGADERA A SPROCKETS DE TRAMO SALIDA LLEN A PAST"/>
    <s v="Preventivo"/>
    <x v="7"/>
    <x v="43"/>
    <n v="1"/>
    <n v="5"/>
    <m/>
    <x v="30"/>
    <d v="1900-01-03T00:00:00"/>
    <s v="SE REALIZARON CASTIGADERAS EN TODOS LOS EJES DEL TRANSPORTE Y SE LIMPIARON CHUMACERAS"/>
    <x v="0"/>
  </r>
  <r>
    <x v="6"/>
    <s v="REALIZAR CASTIGADERA A EJE DE MOTOR C14"/>
    <s v="Preventivo"/>
    <x v="7"/>
    <x v="43"/>
    <n v="1"/>
    <n v="2.5"/>
    <m/>
    <x v="30"/>
    <d v="1899-12-31T00:00:00"/>
    <s v="SE REALIZO CASTIGADERA"/>
    <x v="0"/>
  </r>
  <r>
    <x v="51"/>
    <s v="REALIZAR CASTIGADERA A EJES DE MOTORREDUCTOR C01 AL C05"/>
    <s v="Preventivo"/>
    <x v="7"/>
    <x v="44"/>
    <n v="1"/>
    <n v="5"/>
    <m/>
    <x v="30"/>
    <d v="1900-01-03T00:00:00"/>
    <m/>
    <x v="0"/>
  </r>
  <r>
    <x v="20"/>
    <s v="INSPECCION A BRAZO DE DESPLAZAMIENTO HORIZONTAL DE CARRO"/>
    <s v="Preventivo"/>
    <x v="7"/>
    <x v="44"/>
    <n v="1"/>
    <n v="0.5"/>
    <m/>
    <x v="30"/>
    <d v="1900-01-02T00:00:00"/>
    <s v="SE INSPECCIONO Y NO SE ENCONTRO NINGUNA ANOMALIA Y SE REALIZARON PRUEBAS"/>
    <x v="0"/>
  </r>
  <r>
    <x v="3"/>
    <s v="COLOCACIÓN DE TUBERÍA 2&quot; PARA DRENO DE BOMBA DE VACIO"/>
    <s v="Preventivo"/>
    <x v="7"/>
    <x v="0"/>
    <n v="1"/>
    <n v="2"/>
    <m/>
    <x v="31"/>
    <m/>
    <m/>
    <x v="1"/>
  </r>
  <r>
    <x v="42"/>
    <s v="ROTULACION DE CABLEADO SEGUN BOBINAS DE MOTORES ELECTRICOS"/>
    <s v="Preventivo"/>
    <x v="2"/>
    <x v="22"/>
    <n v="1"/>
    <n v="7"/>
    <m/>
    <x v="30"/>
    <d v="1899-12-31T00:00:00"/>
    <s v="SE ETIQUETO TRANSPORTE DE BOTELLAS PENDIENTE CAJAS"/>
    <x v="0"/>
  </r>
  <r>
    <x v="19"/>
    <s v="INSPECCION POR FUGA DE AIRE EN COMPONENTES NEUMATICOS"/>
    <s v="Preventivo"/>
    <x v="2"/>
    <x v="26"/>
    <n v="1"/>
    <n v="2"/>
    <m/>
    <x v="30"/>
    <m/>
    <m/>
    <x v="4"/>
  </r>
  <r>
    <x v="52"/>
    <s v="INSPECCION POR FUGA DE AIRE EN COMPONENTES NEUMATICOS"/>
    <s v="Preventivo"/>
    <x v="2"/>
    <x v="26"/>
    <n v="1"/>
    <n v="2"/>
    <m/>
    <x v="30"/>
    <m/>
    <m/>
    <x v="4"/>
  </r>
  <r>
    <x v="20"/>
    <s v="INSPECCION POR FUGA DE AIRE EN COMPONENTES NEUMATICOS"/>
    <s v="Preventivo"/>
    <x v="2"/>
    <x v="26"/>
    <n v="1"/>
    <n v="2"/>
    <m/>
    <x v="30"/>
    <m/>
    <m/>
    <x v="4"/>
  </r>
  <r>
    <x v="6"/>
    <s v="INSPECCION POR FUGA DE AIRE EN COMPONENTES NEUMATICOS"/>
    <s v="Preventivo"/>
    <x v="2"/>
    <x v="26"/>
    <n v="1"/>
    <n v="2"/>
    <m/>
    <x v="30"/>
    <m/>
    <m/>
    <x v="4"/>
  </r>
  <r>
    <x v="0"/>
    <s v="INSPECCION INTERNA DE GUIAS DE CADENA PORTA CANASTOS"/>
    <s v="Correctivo"/>
    <x v="7"/>
    <x v="47"/>
    <n v="2"/>
    <n v="8"/>
    <m/>
    <x v="32"/>
    <n v="5"/>
    <s v="SE OBSERVARON GUIAS INTERNAS Y NO SE ENCONTRO NINGUNA ANORMALIDAD, UNICAMENTE SE ENCONTRO PUNTOS DE ROCE ENTRE TECHO DE TANQUE Y CANASTOS SE DESBASTO"/>
    <x v="0"/>
  </r>
  <r>
    <x v="4"/>
    <s v="LIMPIEZA E INSPECCION DE SENSORES DE NIVEL DE TANQUE 1 Y 2"/>
    <s v="Preventivo"/>
    <x v="2"/>
    <x v="22"/>
    <n v="1"/>
    <n v="2"/>
    <m/>
    <x v="32"/>
    <n v="3"/>
    <s v="SE LIMPIARON SENSORES"/>
    <x v="0"/>
  </r>
  <r>
    <x v="10"/>
    <s v="LIMPIEZA E INSPECCION DE SENSORES DE NIVEL DE TANQUES DE CALENTAMIENTO"/>
    <s v="Preventivo"/>
    <x v="2"/>
    <x v="17"/>
    <n v="1"/>
    <n v="2"/>
    <m/>
    <x v="32"/>
    <n v="2"/>
    <s v="SE LIMPIARON SENSORES"/>
    <x v="0"/>
  </r>
  <r>
    <x v="10"/>
    <s v="LIMPIEZA E INSPECCION DE SENSORES DE TEMPERATURA "/>
    <s v="Preventivo"/>
    <x v="2"/>
    <x v="17"/>
    <n v="1"/>
    <n v="5"/>
    <m/>
    <x v="32"/>
    <n v="2"/>
    <s v="SE LIMPIARON SENSORES"/>
    <x v="0"/>
  </r>
  <r>
    <x v="31"/>
    <s v="CONEXION DE MOTOR B10"/>
    <s v="Correctivo"/>
    <x v="2"/>
    <x v="17"/>
    <n v="1"/>
    <n v="0.5"/>
    <m/>
    <x v="32"/>
    <d v="1899-12-31T00:00:00"/>
    <s v="SE INSTALO Y SE PROBO EL SENTIDO DE GIRO"/>
    <x v="0"/>
  </r>
  <r>
    <x v="42"/>
    <s v="ETIQUETADO DE CABLES DE CONEXION DE MOTORREDUCTORES"/>
    <s v="Preventivo"/>
    <x v="2"/>
    <x v="22"/>
    <n v="1"/>
    <n v="7"/>
    <m/>
    <x v="32"/>
    <d v="1900-01-02T00:00:00"/>
    <m/>
    <x v="0"/>
  </r>
  <r>
    <x v="31"/>
    <s v="MONTAJE DE MOTOR B10 "/>
    <s v="Correctivo"/>
    <x v="7"/>
    <x v="21"/>
    <n v="1"/>
    <n v="1"/>
    <m/>
    <x v="32"/>
    <n v="1"/>
    <s v="SE MONTO MOTOR"/>
    <x v="0"/>
  </r>
  <r>
    <x v="53"/>
    <s v="DESCONEXION Y CONEXION MOTOR BYPASS"/>
    <s v="Correctivo"/>
    <x v="2"/>
    <x v="17"/>
    <n v="1"/>
    <n v="0.5"/>
    <m/>
    <x v="32"/>
    <d v="1899-12-31T00:00:00"/>
    <s v="SE INSTALO Y SE PROBO EL SENTIDO DE GIRO"/>
    <x v="0"/>
  </r>
  <r>
    <x v="53"/>
    <s v="MONTAJE DE MOTOR BYPASS"/>
    <s v="Correctivo"/>
    <x v="7"/>
    <x v="21"/>
    <n v="1"/>
    <n v="1"/>
    <m/>
    <x v="32"/>
    <n v="1"/>
    <s v="SE MONTO MOTOR"/>
    <x v="0"/>
  </r>
  <r>
    <x v="19"/>
    <s v="CAMBIO DE RECTIFICADOR Y CONEXION DE MOTORREDUCTOR"/>
    <s v="Correctivo"/>
    <x v="2"/>
    <x v="17"/>
    <n v="1"/>
    <n v="2.5"/>
    <m/>
    <x v="30"/>
    <d v="1900-01-01T00:00:00"/>
    <s v="SE PUSO RECTIFICADOR Y SE PROBO QUEDA TRABAJANDO BIEN"/>
    <x v="0"/>
  </r>
  <r>
    <x v="54"/>
    <s v="RE CONEXION DE MOTOR DE ELEVACION Y ENCODER"/>
    <s v="Correctivo"/>
    <x v="2"/>
    <x v="17"/>
    <n v="1"/>
    <n v="2.5"/>
    <m/>
    <x v="30"/>
    <d v="1899-12-31T00:00:00"/>
    <s v="SE CONECTO MOTOR CON SU ENCODER Y QUEDA TRABAJANDO BIEN"/>
    <x v="0"/>
  </r>
  <r>
    <x v="55"/>
    <s v="REVISION DE CONECTORES Y LIMPIEZA DE FOTOCELDAS "/>
    <s v="Preventivo"/>
    <x v="2"/>
    <x v="17"/>
    <n v="1"/>
    <n v="2.5"/>
    <m/>
    <x v="30"/>
    <d v="1900-01-01T12:00:00"/>
    <s v="SE REVISARON CONECTORES"/>
    <x v="0"/>
  </r>
  <r>
    <x v="0"/>
    <s v="REVISION Y LIMPIEZA DE CAJA DE CONEXION DE SERVOS R1 AL R5"/>
    <s v="Preventivo"/>
    <x v="2"/>
    <x v="22"/>
    <n v="1"/>
    <n v="2"/>
    <m/>
    <x v="30"/>
    <d v="1900-01-02T12:00:00"/>
    <s v="SE REALIZARON LIMPIEZAS DE LOS CONECTORES"/>
    <x v="0"/>
  </r>
  <r>
    <x v="36"/>
    <s v="CAMBIO DE RETENEDOR DE MOTOR B-06"/>
    <s v="Correctivo"/>
    <x v="7"/>
    <x v="21"/>
    <n v="1"/>
    <n v="1.5"/>
    <m/>
    <x v="30"/>
    <n v="1"/>
    <s v="SE CAMBIARON RETENEDORES DE MOTOR"/>
    <x v="0"/>
  </r>
  <r>
    <x v="36"/>
    <s v="CAMBIO DE RETENEDOR DE MOTOR B-08"/>
    <s v="Correctivo"/>
    <x v="7"/>
    <x v="21"/>
    <n v="1"/>
    <n v="1.5"/>
    <m/>
    <x v="30"/>
    <n v="1"/>
    <s v="SE CAMBIARON RETENEDORES DE MOTOR"/>
    <x v="0"/>
  </r>
  <r>
    <x v="56"/>
    <s v="CAMBIO DE RETENEDOR DE MOTOR B-36"/>
    <s v="Correctivo"/>
    <x v="7"/>
    <x v="21"/>
    <n v="1"/>
    <n v="1.5"/>
    <m/>
    <x v="30"/>
    <n v="1"/>
    <s v="SE CAMBIARON RETENEDORES DE MOTOR"/>
    <x v="0"/>
  </r>
  <r>
    <x v="36"/>
    <s v="CAMBIO DE RETENEDOR DE MOTOR C-06"/>
    <s v="Correctivo"/>
    <x v="7"/>
    <x v="21"/>
    <n v="1"/>
    <n v="1.5"/>
    <m/>
    <x v="30"/>
    <n v="1"/>
    <s v="SE CAMBIARON RETENEDORES DE MOTOR"/>
    <x v="0"/>
  </r>
  <r>
    <x v="0"/>
    <s v="REVISION DE GRASA EN CUNAS DE R1 AL R5"/>
    <s v="Preventivo"/>
    <x v="7"/>
    <x v="29"/>
    <n v="1"/>
    <n v="5"/>
    <m/>
    <x v="30"/>
    <d v="1900-01-10T00:00:00"/>
    <s v="SE REVISARON CUNAS DE BALEROS POR TEMAS DE LUBRICACION ENCONTRADO EL BALERO #30 CON POCO LUBRICANTE Y CONTAMINACION DE SODA._x000a_SE BAJA CHUMACERA PARA HACER CAMBIO DE BALERO Y SE LE PONEN TAPONES A LA CHUMACERA POR QUE NO SE LE HABIAN COLOCADO._x000a_NO HABIA RETENEDOR 100X120X10 SE DEJO CON EL MISMO RETENEDOR Y SE HACE LUBRICACION MANUAL_x000a_"/>
    <x v="0"/>
  </r>
  <r>
    <x v="11"/>
    <s v="LUBRICACION MANUAL CENTRALIZADA"/>
    <s v="Preventivo"/>
    <x v="7"/>
    <x v="29"/>
    <n v="1"/>
    <n v="3"/>
    <m/>
    <x v="30"/>
    <d v="1900-01-02T00:00:00"/>
    <s v="SE REALIZO LIMPIEZA Y LUBRICACION DE CILINDROS DE TRASNFERENCIA DE SUPREMA, TORNILLO SINFIN, HUSILLOS, SE VERIFICARON Y ENGRASARON LOS PUNTOS DE LUBRICACION CENTRALIZADA "/>
    <x v="0"/>
  </r>
  <r>
    <x v="0"/>
    <s v="MONTAJE DE BOMBA DE PREENJUAGUE"/>
    <s v="Correctivo"/>
    <x v="7"/>
    <x v="44"/>
    <n v="1"/>
    <n v="1"/>
    <m/>
    <x v="30"/>
    <n v="1"/>
    <s v="SE MONTO BOMBA DE PREENJUAGUE"/>
    <x v="0"/>
  </r>
  <r>
    <x v="0"/>
    <s v="CONEXION DE BOMBA DE PREENJUAGUE"/>
    <s v="Correctivo"/>
    <x v="2"/>
    <x v="17"/>
    <n v="1"/>
    <n v="0.5"/>
    <m/>
    <x v="30"/>
    <n v="0.5"/>
    <s v="SE CONECTO BOMBA Y SE PROBO SENTIDO DE GIRO"/>
    <x v="0"/>
  </r>
  <r>
    <x v="52"/>
    <s v="REVISION Y AJUSTE DE FRENO MOTORREDUCTOR DE ELEVACION"/>
    <s v="Preventivo"/>
    <x v="7"/>
    <x v="43"/>
    <n v="2"/>
    <n v="3"/>
    <m/>
    <x v="33"/>
    <d v="1900-01-03T00:00:00"/>
    <s v="SE CAMBIO FRENO DE MOTOR DE ELEVACION CABEZAL A 0.2MM, SE CALIBRO FRENO DE MOTOR ELEVACION DE CENTRADOR A 0.20MM"/>
    <x v="0"/>
  </r>
  <r>
    <x v="54"/>
    <s v="REVISION Y AJUSTE DE FRENO MOTORREDUCTOR DE ELEVACION"/>
    <s v="Preventivo"/>
    <x v="7"/>
    <x v="43"/>
    <n v="2"/>
    <n v="3"/>
    <m/>
    <x v="33"/>
    <d v="1900-01-03T00:00:00"/>
    <s v="SE CALIBRO FRENO DE MOTOR DE ELEVACION DE CABEZAL A 0.20MM"/>
    <x v="0"/>
  </r>
  <r>
    <x v="52"/>
    <s v="REVISION y LIMPIEZA DE RECTIFICADOR"/>
    <s v="Preventivo"/>
    <x v="2"/>
    <x v="17"/>
    <n v="1"/>
    <n v="2"/>
    <m/>
    <x v="33"/>
    <d v="1899-12-31T00:00:00"/>
    <s v="SE REVISO RECTIFICADOR Y SE ENCUENTRA BIEN._x000a_SE LIMPIO CON LIMPIADOR DE CONTACTOS"/>
    <x v="0"/>
  </r>
  <r>
    <x v="54"/>
    <s v="REVISION y LIMPIEZA DE RECTIFICADOR"/>
    <s v="Preventivo"/>
    <x v="2"/>
    <x v="17"/>
    <n v="1"/>
    <n v="2"/>
    <m/>
    <x v="33"/>
    <d v="1899-12-31T00:00:00"/>
    <s v="SE REVISO RECTIFICADOR Y SE ENCUENTRA BIEN._x000a_SE LIMPIO CON LIMPIADOR DE CONTACTOS"/>
    <x v="0"/>
  </r>
  <r>
    <x v="6"/>
    <s v="REVISION y LIMPIEZA DE RECTIFICADOR"/>
    <s v="Preventivo"/>
    <x v="2"/>
    <x v="17"/>
    <n v="1"/>
    <n v="2"/>
    <m/>
    <x v="33"/>
    <d v="1899-12-31T00:00:00"/>
    <s v="SE REVISO RECTIFICADOR Y SE ENCUENTRA BIEN._x000a_SE LIMPIO CON LIMPIADOR DE CONTACTOS"/>
    <x v="0"/>
  </r>
  <r>
    <x v="20"/>
    <s v="REVISION y LIMPIEZA DE RECTIFICADOR"/>
    <s v="Preventivo"/>
    <x v="2"/>
    <x v="17"/>
    <n v="1"/>
    <n v="2"/>
    <m/>
    <x v="33"/>
    <d v="1899-12-31T00:00:00"/>
    <s v="SE REVISO RECTIFICADOR Y SE ENCUENTRA BIEN._x000a_SE LIMPIO CON LIMPIADOR DE CONTACTOS"/>
    <x v="0"/>
  </r>
  <r>
    <x v="0"/>
    <s v="REFORZAMIENTO DE GUIAS CURVAS DE ENTRADA"/>
    <s v="Preventivo"/>
    <x v="7"/>
    <x v="48"/>
    <n v="2"/>
    <n v="3.3333333333333335"/>
    <m/>
    <x v="33"/>
    <d v="1900-01-04T09:36:00"/>
    <s v="SE SOLDARON Y REFORZÓ GUIAS DE ENTRADA DE LAVADORA DE BOTELLAS"/>
    <x v="0"/>
  </r>
  <r>
    <x v="50"/>
    <s v="REALIZAR CASTIGADERA A EJE DE MOTORES DE TRANSPORTE"/>
    <s v="Preventivo"/>
    <x v="7"/>
    <x v="29"/>
    <n v="1"/>
    <n v="9"/>
    <m/>
    <x v="33"/>
    <d v="1900-01-03T00:00:00"/>
    <s v="SE REALIZARON CASTIGADERAS EN TODOS LOS TRAMOS"/>
    <x v="0"/>
  </r>
  <r>
    <x v="35"/>
    <s v="REALIZAR CASTIGADERA A EJE DE MOTORES DE TRANSPORTE"/>
    <s v="Preventivo"/>
    <x v="7"/>
    <x v="3"/>
    <n v="1"/>
    <n v="0.75"/>
    <m/>
    <x v="33"/>
    <m/>
    <s v="NO SE REALIZO POR FALTA DE TIEMPO"/>
    <x v="4"/>
  </r>
  <r>
    <x v="33"/>
    <s v="REALIZAR CASTIGADERA A EJE DE MOTORES DE TRANSPORTE"/>
    <s v="Preventivo"/>
    <x v="7"/>
    <x v="3"/>
    <n v="1"/>
    <n v="6"/>
    <m/>
    <x v="34"/>
    <n v="5"/>
    <s v="Hay que colocar un seguro omega en un eje y se aorovecho a limpiar housing de cada motor."/>
    <x v="0"/>
  </r>
  <r>
    <x v="10"/>
    <s v="INSPECCION DE ESTADO DE GRASA Y PUNTOS DE LUBRICACION"/>
    <s v="Preventivo"/>
    <x v="7"/>
    <x v="49"/>
    <n v="1"/>
    <n v="6"/>
    <m/>
    <x v="33"/>
    <m/>
    <s v="SE REALIZO POR PARTE DE TRICOMBUS Y SE REVISARON PUNTOS DE LUBRICACION DE LAVADORA"/>
    <x v="0"/>
  </r>
  <r>
    <x v="40"/>
    <s v="LIMPIEZA DE SISTEMA DE ENFRIAMIENTO DE PANELES ELECTRICOS"/>
    <s v="Correctivo"/>
    <x v="2"/>
    <x v="26"/>
    <n v="2"/>
    <n v="2"/>
    <m/>
    <x v="33"/>
    <d v="1900-01-01T00:00:00"/>
    <s v="SE REALIZO LIMPIEZA DEL AIRE ACONDICIONADO DEL PANEL DE LA LAVADORA DE BOTELLAS"/>
    <x v="0"/>
  </r>
  <r>
    <x v="57"/>
    <s v="ROTULACION DE CABLEADO SEGUN BOBINAS DE MOTORES ELECTRICOS"/>
    <s v="Preventivo"/>
    <x v="2"/>
    <x v="22"/>
    <n v="1"/>
    <n v="7.333333333333333"/>
    <m/>
    <x v="33"/>
    <d v="1900-01-06T00:00:00"/>
    <m/>
    <x v="0"/>
  </r>
  <r>
    <x v="25"/>
    <s v="LIMPIEZA E INSPECCION DE CONECTORES DE SENSORES Y FOTOCELDAS"/>
    <s v="Preventivo"/>
    <x v="2"/>
    <x v="26"/>
    <n v="1"/>
    <n v="1"/>
    <m/>
    <x v="33"/>
    <d v="1899-12-31T00:00:00"/>
    <s v="SE REALIZO LIMPIEZA DE SENSORES Y CONECTORES CON LA AYUDA DEL OPERADOR"/>
    <x v="0"/>
  </r>
  <r>
    <x v="26"/>
    <s v="LIMPIEZA E INSPECCION DE CONECTORES DE SENSORES Y FOTOCELDAS"/>
    <s v="Preventivo"/>
    <x v="2"/>
    <x v="26"/>
    <n v="1"/>
    <n v="1"/>
    <m/>
    <x v="33"/>
    <d v="1899-12-31T00:00:00"/>
    <s v="SE REALIZO LIMPIEZA DE CONECTORES Y SENSORES CON LA AYUDA DEL OPERADOR"/>
    <x v="0"/>
  </r>
  <r>
    <x v="19"/>
    <s v="LIMPIEZA E INSPECCION DE CONECTORES DE SENSORES Y FOTOCELDAS"/>
    <s v="Preventivo"/>
    <x v="2"/>
    <x v="26"/>
    <n v="1"/>
    <n v="1"/>
    <m/>
    <x v="33"/>
    <d v="1899-12-31T00:00:00"/>
    <s v="SE REALIZO LIMPIEZA DE SENSORES Y CONECTORES CON LA AYUDA DEL OPERADOR"/>
    <x v="0"/>
  </r>
  <r>
    <x v="0"/>
    <s v="REVISION DE BOLSA DE CADENA DE TRACCION PRINCIPAL"/>
    <s v="Correctivo"/>
    <x v="7"/>
    <x v="46"/>
    <n v="2"/>
    <n v="9"/>
    <m/>
    <x v="33"/>
    <d v="1900-01-08T00:00:00"/>
    <s v="TANQUE 4 SE ENCONTRÓ UNA BOLSA QUE HAY QUE DISTRIBUIR, SE TENSÓ A 29CM LA DISTANCIA DE DOS TENSORES"/>
    <x v="0"/>
  </r>
  <r>
    <x v="33"/>
    <s v="REALIZAR CASTIGADERA A EJE DE MOTORES DE TRANSPORTE C15 - C20"/>
    <s v="Preventivo"/>
    <x v="7"/>
    <x v="3"/>
    <n v="1"/>
    <n v="3.75"/>
    <m/>
    <x v="33"/>
    <d v="1900-01-02T00:00:00"/>
    <s v="SE REALIZO AL C15 Y C16 QUEDAN PENDIENTES LOS DEMAS MOTORES"/>
    <x v="0"/>
  </r>
  <r>
    <x v="58"/>
    <s v="COLOCACION DE CONECTORES IP69 EN SENSORES DE BALANCINES"/>
    <s v="Preventivo"/>
    <x v="2"/>
    <x v="26"/>
    <n v="1"/>
    <n v="2"/>
    <m/>
    <x v="33"/>
    <d v="1900-01-06T00:00:00"/>
    <s v="SE REEMPLAZARON LOS CONECTORES"/>
    <x v="0"/>
  </r>
  <r>
    <x v="22"/>
    <s v="CAMBIO DE FILTROS POLARIZADORES DEL EBI"/>
    <s v="Preventivo"/>
    <x v="3"/>
    <x v="0"/>
    <m/>
    <m/>
    <m/>
    <x v="35"/>
    <m/>
    <m/>
    <x v="1"/>
  </r>
  <r>
    <x v="50"/>
    <s v="COLOCARLE VARILLA ROSCADA PARA AJUSTE DE FORMATO"/>
    <s v="Preventivo"/>
    <x v="3"/>
    <x v="0"/>
    <m/>
    <m/>
    <m/>
    <x v="35"/>
    <m/>
    <m/>
    <x v="1"/>
  </r>
  <r>
    <x v="31"/>
    <s v="COLOCAR CASTIGADERA A MOTORES DEL B09 AL B17"/>
    <s v="Preventivo"/>
    <x v="7"/>
    <x v="44"/>
    <n v="1"/>
    <n v="6"/>
    <m/>
    <x v="34"/>
    <n v="5"/>
    <s v="SE LE REALIZARON CASTIGADERAS A MOTORES Y SE LIMPIARON CHUMACERAS Y GUARDAS DE CHUMACERAS"/>
    <x v="0"/>
  </r>
  <r>
    <x v="46"/>
    <s v="CAMBIAR PERNOS POR REMACHES DE GUIAS HORIZONTALES"/>
    <s v="Preventivo"/>
    <x v="9"/>
    <x v="0"/>
    <n v="1"/>
    <n v="4"/>
    <m/>
    <x v="36"/>
    <m/>
    <m/>
    <x v="1"/>
  </r>
  <r>
    <x v="50"/>
    <s v="CAMBIAR PERNOS POR REMACHES DE GUIAS HORIZONTALES"/>
    <s v="Preventivo"/>
    <x v="9"/>
    <x v="0"/>
    <n v="1"/>
    <n v="4"/>
    <m/>
    <x v="36"/>
    <m/>
    <m/>
    <x v="1"/>
  </r>
  <r>
    <x v="0"/>
    <s v="MANTENIMIENTO A MOTOR CEPILLO #2"/>
    <s v="Correctivo"/>
    <x v="8"/>
    <x v="0"/>
    <m/>
    <m/>
    <m/>
    <x v="36"/>
    <m/>
    <m/>
    <x v="2"/>
  </r>
  <r>
    <x v="0"/>
    <s v="MANTENIMIENTO A CANASTOS TORCIDOS"/>
    <s v="Preventivo"/>
    <x v="7"/>
    <x v="3"/>
    <n v="1"/>
    <n v="2"/>
    <m/>
    <x v="36"/>
    <m/>
    <m/>
    <x v="1"/>
  </r>
  <r>
    <x v="11"/>
    <s v="SINCRONIZACION CON TORNILLO SINFIN Y ESTRELLA DE ENTRADA "/>
    <s v="Preventivo"/>
    <x v="7"/>
    <x v="3"/>
    <n v="2"/>
    <n v="5"/>
    <m/>
    <x v="37"/>
    <m/>
    <m/>
    <x v="1"/>
  </r>
  <r>
    <x v="0"/>
    <s v="CAMBIO DE RETENEDORES R1 Y R2 POR FUGA"/>
    <s v="Correctivo"/>
    <x v="3"/>
    <x v="0"/>
    <m/>
    <m/>
    <m/>
    <x v="35"/>
    <m/>
    <m/>
    <x v="2"/>
  </r>
  <r>
    <x v="19"/>
    <s v="ORDENAMIENTO DE CABLE DE PISTON NEUMATICO MESA DE CARGA"/>
    <s v="Correctivo"/>
    <x v="2"/>
    <x v="50"/>
    <n v="1"/>
    <n v="1.5"/>
    <m/>
    <x v="38"/>
    <m/>
    <m/>
    <x v="2"/>
  </r>
  <r>
    <x v="19"/>
    <s v="REVISIÓN DE NIVEL DE ACEITE DE MOTOR DE CORTINA Y TRASLACION CABEZAL"/>
    <s v="Preventivo"/>
    <x v="2"/>
    <x v="29"/>
    <n v="1"/>
    <n v="1.5"/>
    <m/>
    <x v="34"/>
    <n v="1"/>
    <s v="Se revisó nivel de aceite y no se encuentran fugas y el aceite en buen estado"/>
    <x v="0"/>
  </r>
  <r>
    <x v="19"/>
    <s v="REVISIÓN DE NIVEL DE ACEITE DE MOTOR DE ELEVACION"/>
    <s v="Preventivo"/>
    <x v="2"/>
    <x v="29"/>
    <n v="1"/>
    <n v="4"/>
    <m/>
    <x v="34"/>
    <n v="3"/>
    <s v="Se revisó nivel de aceite y no se encuentran fugas y el aceite en buen estado"/>
    <x v="0"/>
  </r>
  <r>
    <x v="26"/>
    <s v="REVISIÓN DE NIVEL DE ACEITE DE MOTOR DE ELEVACION"/>
    <s v="Preventivo"/>
    <x v="2"/>
    <x v="3"/>
    <n v="1"/>
    <n v="2"/>
    <m/>
    <x v="37"/>
    <m/>
    <m/>
    <x v="1"/>
  </r>
  <r>
    <x v="26"/>
    <s v="REVISIÓN DE NIVEL DE ACEITE DE MOTOR DE TRASLACION HORIZONTAL"/>
    <s v="Preventivo"/>
    <x v="7"/>
    <x v="3"/>
    <n v="1"/>
    <n v="0.75"/>
    <m/>
    <x v="37"/>
    <m/>
    <m/>
    <x v="1"/>
  </r>
  <r>
    <x v="10"/>
    <s v="CAMBIO DE SENSORES DE ENTRADA DE PASTEURIZADOR"/>
    <s v="Preventivo"/>
    <x v="2"/>
    <x v="40"/>
    <n v="1"/>
    <n v="2"/>
    <m/>
    <x v="34"/>
    <m/>
    <s v="Hay que modificar la base del sensor para poder cambiarlo por ende es necesario reprogramarlo"/>
    <x v="4"/>
  </r>
  <r>
    <x v="0"/>
    <s v="REVISION DE CONECTORES, SONDAS Y CONEXIONES DE SENSORES TEMP"/>
    <s v="Preventivo"/>
    <x v="2"/>
    <x v="17"/>
    <n v="1"/>
    <n v="3"/>
    <m/>
    <x v="34"/>
    <n v="3"/>
    <s v="SE LIMPIARON SENSORES Y CONECTORES"/>
    <x v="0"/>
  </r>
  <r>
    <x v="0"/>
    <s v="REVISION DE CONECTORES, SONDAS Y CONEXIONES DE SENSORES DE NIVEL"/>
    <s v="Preventivo"/>
    <x v="2"/>
    <x v="17"/>
    <n v="1"/>
    <n v="3"/>
    <m/>
    <x v="34"/>
    <n v="3"/>
    <s v="SE LIMPIARON SENSORES Y CONECTORES"/>
    <x v="0"/>
  </r>
  <r>
    <x v="10"/>
    <s v="REVISION DE CONECTORES, SONDAS Y CONEXIONES DE SENSORES DE NIVEL"/>
    <s v="Preventivo"/>
    <x v="2"/>
    <x v="40"/>
    <n v="1"/>
    <n v="2"/>
    <m/>
    <x v="34"/>
    <n v="3"/>
    <s v="SE LIMPIARON SENSORES Y CONECTORES"/>
    <x v="0"/>
  </r>
  <r>
    <x v="10"/>
    <s v="REVISION DE CONECTORES, SONDAS Y CONEXIONES DE SENSORES TEMP"/>
    <s v="Preventivo"/>
    <x v="2"/>
    <x v="40"/>
    <n v="1"/>
    <n v="2"/>
    <m/>
    <x v="34"/>
    <n v="3"/>
    <s v="SE LIMPIARON SENSORES Y CONECTORES"/>
    <x v="0"/>
  </r>
  <r>
    <x v="11"/>
    <s v="CREACION DE RECETA Y ESTANDAR DE SUPREMA ROJA 330ML"/>
    <s v="Preventivo"/>
    <x v="10"/>
    <x v="22"/>
    <n v="1"/>
    <n v="4"/>
    <m/>
    <x v="34"/>
    <n v="3"/>
    <s v="Se creo la receta pero no se ajusto la inspección, es necesario etiquetar las botellas para ajustar la inspección"/>
    <x v="0"/>
  </r>
  <r>
    <x v="0"/>
    <s v="MONTAJE DE MOTOR DE CEPILLO TK #2"/>
    <s v="Correctivo"/>
    <x v="7"/>
    <x v="43"/>
    <n v="1"/>
    <n v="1"/>
    <m/>
    <x v="34"/>
    <n v="1"/>
    <s v="SE REALIZO MONTAJE DE MOTOR DE CEPILLO TK#2"/>
    <x v="0"/>
  </r>
  <r>
    <x v="0"/>
    <s v="ENDEREZADO DE 3 CANASTOS TORCIDOS "/>
    <s v="Correctivo"/>
    <x v="7"/>
    <x v="3"/>
    <n v="2"/>
    <n v="2"/>
    <m/>
    <x v="37"/>
    <m/>
    <m/>
    <x v="1"/>
  </r>
  <r>
    <x v="59"/>
    <s v="FABRICACION DE BANDEJA RECOLECTORA DE LUBRICACION TRAMO SALIDA LAVADORA"/>
    <s v="Correctivo"/>
    <x v="7"/>
    <x v="3"/>
    <n v="1"/>
    <n v="6"/>
    <m/>
    <x v="39"/>
    <m/>
    <m/>
    <x v="1"/>
  </r>
  <r>
    <x v="50"/>
    <s v="LIMPIEZA DE CANALETA ELECTRICA TRAMO PAST A ETQ"/>
    <s v="Preventivo"/>
    <x v="2"/>
    <x v="17"/>
    <n v="1"/>
    <n v="3"/>
    <m/>
    <x v="39"/>
    <m/>
    <m/>
    <x v="1"/>
  </r>
  <r>
    <x v="35"/>
    <s v="LIMPIEZA DE CANALETA ELECTRICA TRAMO ETQ A ENCA"/>
    <s v="Preventivo"/>
    <x v="2"/>
    <x v="43"/>
    <n v="1"/>
    <n v="3"/>
    <m/>
    <x v="39"/>
    <m/>
    <m/>
    <x v="1"/>
  </r>
  <r>
    <x v="19"/>
    <s v="LIMPIEZA DE PANEL ELECTRICO Y RE APRETE DE CONEXIONES"/>
    <s v="Preventivo"/>
    <x v="2"/>
    <x v="43"/>
    <n v="1"/>
    <n v="2"/>
    <m/>
    <x v="39"/>
    <m/>
    <m/>
    <x v="1"/>
  </r>
  <r>
    <x v="26"/>
    <s v="LIMPIEZA DE PANEL ELECTRICO Y RE APRETE DE CONEXIONES"/>
    <s v="Preventivo"/>
    <x v="2"/>
    <x v="43"/>
    <n v="1"/>
    <n v="2"/>
    <m/>
    <x v="39"/>
    <m/>
    <m/>
    <x v="1"/>
  </r>
  <r>
    <x v="0"/>
    <s v="RE ORDENAMIENTO DE PANEL DE CONTROL SOBRE LAVADORA"/>
    <s v="Preventivo"/>
    <x v="2"/>
    <x v="22"/>
    <n v="1"/>
    <n v="8"/>
    <m/>
    <x v="39"/>
    <m/>
    <m/>
    <x v="1"/>
  </r>
  <r>
    <x v="3"/>
    <s v="LIMPIEZA DE PANEL ELECTRICO Y RE APRETE DE CONEXIONES"/>
    <s v="Preventivo"/>
    <x v="2"/>
    <x v="17"/>
    <n v="1"/>
    <n v="3"/>
    <m/>
    <x v="39"/>
    <m/>
    <m/>
    <x v="1"/>
  </r>
  <r>
    <x v="0"/>
    <s v="INSPECCIÓN  EN LAVADORA DE BOTELLAS"/>
    <s v="Preventivo"/>
    <x v="7"/>
    <x v="44"/>
    <n v="1"/>
    <n v="8"/>
    <m/>
    <x v="39"/>
    <m/>
    <m/>
    <x v="1"/>
  </r>
  <r>
    <x v="0"/>
    <s v="DESATASCO DE MALLLA EXTRACTOR 2"/>
    <s v="Correctivo"/>
    <x v="7"/>
    <x v="29"/>
    <n v="2"/>
    <n v="3"/>
    <m/>
    <x v="40"/>
    <m/>
    <m/>
    <x v="1"/>
  </r>
  <r>
    <x v="0"/>
    <s v="REPARACION DE BARRA DE SODA "/>
    <s v="Correctivo"/>
    <x v="7"/>
    <x v="3"/>
    <n v="1"/>
    <n v="2"/>
    <m/>
    <x v="40"/>
    <m/>
    <m/>
    <x v="1"/>
  </r>
  <r>
    <x v="60"/>
    <s v="REPARACION DE DISPLAY DE BASCULA"/>
    <s v="Correctivo"/>
    <x v="7"/>
    <x v="3"/>
    <n v="1"/>
    <n v="1"/>
    <m/>
    <x v="40"/>
    <m/>
    <m/>
    <x v="1"/>
  </r>
  <r>
    <x v="36"/>
    <s v="LIMPIEZA DE CANALETA ELECTRICA TRAMO DESENCA A LAVCAJ"/>
    <s v="Preventivo"/>
    <x v="2"/>
    <x v="17"/>
    <n v="1"/>
    <n v="5"/>
    <m/>
    <x v="40"/>
    <m/>
    <m/>
    <x v="1"/>
  </r>
  <r>
    <x v="0"/>
    <s v="APOYO A MOVIMIENTO DE MALLA EXTRACTOR 2"/>
    <s v="Preventivo"/>
    <x v="2"/>
    <x v="40"/>
    <n v="1"/>
    <n v="3"/>
    <m/>
    <x v="40"/>
    <m/>
    <m/>
    <x v="1"/>
  </r>
  <r>
    <x v="22"/>
    <s v="CAMBIO DE FAJA TRANSPORTA BOTELLAS"/>
    <s v="Preventivo"/>
    <x v="1"/>
    <x v="51"/>
    <n v="1"/>
    <n v="0.5"/>
    <m/>
    <x v="41"/>
    <m/>
    <m/>
    <x v="1"/>
  </r>
  <r>
    <x v="61"/>
    <s v="LIMPIEZA E INSPECCION DE CADENAS, SPROCKETS Y MOTORES DE TRANSPORTE"/>
    <s v="Preventivo"/>
    <x v="1"/>
    <x v="0"/>
    <n v="2"/>
    <n v="3"/>
    <m/>
    <x v="41"/>
    <m/>
    <m/>
    <x v="1"/>
  </r>
  <r>
    <x v="62"/>
    <s v="LIMPIEZA E INSPECCION DE CADENAS, SPROCKETS Y MOTORES DE TRANSPORTE"/>
    <s v="Preventivo"/>
    <x v="1"/>
    <x v="0"/>
    <n v="2"/>
    <n v="3"/>
    <m/>
    <x v="41"/>
    <m/>
    <m/>
    <x v="1"/>
  </r>
  <r>
    <x v="36"/>
    <s v="LIMPIEZA E INSPECCION DE CADENAS, SPROCKETS Y MOTORES DE TRANSPORTE"/>
    <s v="Preventivo"/>
    <x v="1"/>
    <x v="0"/>
    <n v="2"/>
    <n v="3"/>
    <m/>
    <x v="41"/>
    <m/>
    <m/>
    <x v="1"/>
  </r>
  <r>
    <x v="31"/>
    <s v="LIMPIEZA E INSPECCION DE CADENAS, SPROCKETS Y MOTORES DE TRANSPORTE"/>
    <s v="Preventivo"/>
    <x v="1"/>
    <x v="0"/>
    <n v="2"/>
    <n v="3"/>
    <m/>
    <x v="41"/>
    <m/>
    <m/>
    <x v="1"/>
  </r>
  <r>
    <x v="63"/>
    <s v="LIMPIEZA E INSPECCION DE CADENAS, SPROCKETS Y MOTORES DE TRANSPORTE"/>
    <s v="Preventivo"/>
    <x v="1"/>
    <x v="0"/>
    <n v="2"/>
    <n v="3"/>
    <m/>
    <x v="41"/>
    <m/>
    <m/>
    <x v="1"/>
  </r>
  <r>
    <x v="46"/>
    <s v="LIMPIEZA E INSPECCION DE CADENAS, SPROCKETS Y MOTORES DE TRANSPORTE"/>
    <s v="Preventivo"/>
    <x v="1"/>
    <x v="0"/>
    <n v="2"/>
    <n v="4"/>
    <m/>
    <x v="41"/>
    <m/>
    <m/>
    <x v="1"/>
  </r>
  <r>
    <x v="64"/>
    <s v="LIMPIEZA E INSPECCION DE CADENAS, SPROCKETS Y MOTORES DE TRANSPORTE"/>
    <s v="Preventivo"/>
    <x v="1"/>
    <x v="0"/>
    <n v="2"/>
    <n v="4"/>
    <m/>
    <x v="41"/>
    <m/>
    <m/>
    <x v="1"/>
  </r>
  <r>
    <x v="65"/>
    <s v="LIMPIEZA E INSPECCION DE CADENAS, SPROCKETS Y MOTORES DE TRANSPORTE"/>
    <s v="Preventivo"/>
    <x v="1"/>
    <x v="0"/>
    <n v="2"/>
    <n v="3"/>
    <m/>
    <x v="41"/>
    <m/>
    <m/>
    <x v="1"/>
  </r>
  <r>
    <x v="35"/>
    <s v="LIMPIEZA E INSPECCION DE CADENAS, SPROCKETS Y MOTORES DE TRANSPORTE"/>
    <s v="Preventivo"/>
    <x v="1"/>
    <x v="0"/>
    <n v="2"/>
    <n v="3"/>
    <m/>
    <x v="41"/>
    <m/>
    <m/>
    <x v="1"/>
  </r>
  <r>
    <x v="34"/>
    <s v="LIMPIEZA E INSPECCION DE CADENAS, SPROCKETS Y MOTORES DE TRANSPORTE"/>
    <s v="Preventivo"/>
    <x v="1"/>
    <x v="0"/>
    <n v="2"/>
    <n v="3"/>
    <m/>
    <x v="41"/>
    <m/>
    <m/>
    <x v="1"/>
  </r>
  <r>
    <x v="47"/>
    <s v="LIMPIEZA E INSPECCION DE CADENAS, SPROCKETS Y MOTORES DE TRANSPORTE"/>
    <s v="Preventivo"/>
    <x v="1"/>
    <x v="0"/>
    <n v="2"/>
    <n v="3"/>
    <m/>
    <x v="41"/>
    <m/>
    <m/>
    <x v="1"/>
  </r>
  <r>
    <x v="3"/>
    <s v="LIMPIEZA E INSPECCION DE SISTEMA DE ACCIONAMIENTO PRINCIPAL #57"/>
    <s v="Correctivo"/>
    <x v="1"/>
    <x v="2"/>
    <n v="1"/>
    <n v="3"/>
    <m/>
    <x v="37"/>
    <m/>
    <m/>
    <x v="1"/>
  </r>
  <r>
    <x v="3"/>
    <s v="CAMBIO DE HABAS CONICAS #218"/>
    <s v="Correctivo"/>
    <x v="1"/>
    <x v="2"/>
    <n v="1"/>
    <n v="2"/>
    <m/>
    <x v="37"/>
    <m/>
    <m/>
    <x v="1"/>
  </r>
  <r>
    <x v="6"/>
    <s v="REPARACION DE CANALETA ELECTRICA #209"/>
    <s v="Correctivo"/>
    <x v="7"/>
    <x v="3"/>
    <n v="1"/>
    <n v="2"/>
    <m/>
    <x v="37"/>
    <m/>
    <m/>
    <x v="1"/>
  </r>
  <r>
    <x v="0"/>
    <s v="REPARACION DE FUGA DE PRESOSTATO DANFOSS #178"/>
    <s v="Correctivo"/>
    <x v="7"/>
    <x v="29"/>
    <n v="1"/>
    <n v="0.5"/>
    <m/>
    <x v="41"/>
    <m/>
    <m/>
    <x v="1"/>
  </r>
  <r>
    <x v="0"/>
    <s v="QUITAR TOPE CERCA DE PLATAFORMA DE BARRAS DE ENJUAGUE FINAL #202"/>
    <s v="Correctivo"/>
    <x v="7"/>
    <x v="3"/>
    <n v="1"/>
    <n v="0.5"/>
    <m/>
    <x v="41"/>
    <m/>
    <m/>
    <x v="1"/>
  </r>
  <r>
    <x v="10"/>
    <s v="COLOCACION DE TAPADERA DE CANALETA ELECTRICA #205"/>
    <s v="Correctivo"/>
    <x v="7"/>
    <x v="29"/>
    <n v="1"/>
    <n v="2"/>
    <m/>
    <x v="41"/>
    <m/>
    <m/>
    <x v="1"/>
  </r>
  <r>
    <x v="66"/>
    <s v="REPARAR FUGA DE ACEITE EN MOTOR B44 #190"/>
    <s v="Correctivo"/>
    <x v="7"/>
    <x v="3"/>
    <n v="1"/>
    <n v="1"/>
    <m/>
    <x v="41"/>
    <m/>
    <m/>
    <x v="1"/>
  </r>
  <r>
    <x v="34"/>
    <s v="REPARAR FUGA DE ACEITE EN MOTOR C18 #173"/>
    <s v="Correctivo"/>
    <x v="7"/>
    <x v="3"/>
    <n v="1"/>
    <n v="1"/>
    <m/>
    <x v="41"/>
    <m/>
    <m/>
    <x v="1"/>
  </r>
  <r>
    <x v="3"/>
    <s v="ELIMINAR SISTEMA INTERLOCKS DE CONTACTOS K342 - K302"/>
    <s v="Correctivo"/>
    <x v="2"/>
    <x v="17"/>
    <n v="1"/>
    <n v="1"/>
    <m/>
    <x v="41"/>
    <m/>
    <m/>
    <x v="1"/>
  </r>
  <r>
    <x v="26"/>
    <s v="LIMPIEZA E INSPECCION DE CONECTORES DE SENSORES DE EQUIPO"/>
    <s v="Preventivo"/>
    <x v="2"/>
    <x v="17"/>
    <n v="1"/>
    <n v="1"/>
    <m/>
    <x v="41"/>
    <m/>
    <m/>
    <x v="1"/>
  </r>
  <r>
    <x v="19"/>
    <s v="LIMPIEZA E INSPECCION DE CONECTORES DE SENSORES DE EQUIPO"/>
    <s v="Preventivo"/>
    <x v="2"/>
    <x v="17"/>
    <n v="1"/>
    <n v="1"/>
    <m/>
    <x v="41"/>
    <m/>
    <m/>
    <x v="1"/>
  </r>
  <r>
    <x v="6"/>
    <s v="LIMPIEZA E INSPECCION DE CONECTORES DE SENSORES DE EQUIPO"/>
    <s v="Preventivo"/>
    <x v="2"/>
    <x v="40"/>
    <n v="1"/>
    <n v="1"/>
    <m/>
    <x v="41"/>
    <m/>
    <m/>
    <x v="1"/>
  </r>
  <r>
    <x v="20"/>
    <s v="LIMPIEZA E INSPECCION DE CONECTORES DE SENSORES DE EQUIPO"/>
    <s v="Preventivo"/>
    <x v="2"/>
    <x v="40"/>
    <n v="1"/>
    <n v="1"/>
    <m/>
    <x v="41"/>
    <m/>
    <m/>
    <x v="1"/>
  </r>
  <r>
    <x v="22"/>
    <s v="LIMPIEZA E INSPECCION DE CONECTORES DE SENSORES DE EQUIPO"/>
    <s v="Preventivo"/>
    <x v="2"/>
    <x v="22"/>
    <n v="1"/>
    <n v="4"/>
    <m/>
    <x v="37"/>
    <m/>
    <m/>
    <x v="1"/>
  </r>
  <r>
    <x v="3"/>
    <s v="LIMPIEZA E INSPECCION DE CONECTORES DE SENSORES DE EQUIPO"/>
    <s v="Preventivo"/>
    <x v="2"/>
    <x v="22"/>
    <n v="1"/>
    <n v="4"/>
    <m/>
    <x v="37"/>
    <m/>
    <m/>
    <x v="1"/>
  </r>
  <r>
    <x v="0"/>
    <s v="RECORTE DE ESLABONES MALLA #2"/>
    <s v="Correctivo"/>
    <x v="7"/>
    <x v="52"/>
    <n v="1"/>
    <n v="11"/>
    <m/>
    <x v="35"/>
    <m/>
    <s v="SE RECORTO ESLABONES Y SE REALIZO MONTAJE DE MALLA"/>
    <x v="0"/>
  </r>
  <r>
    <x v="0"/>
    <s v="CAMBIO DE GUIAS DE DESLIZAMIENTO TANQUE #2"/>
    <s v="Correctivo"/>
    <x v="7"/>
    <x v="52"/>
    <n v="1"/>
    <n v="11"/>
    <m/>
    <x v="35"/>
    <m/>
    <s v="SE CAMBIARON GUIAS DE DESLIZAMIENTO"/>
    <x v="0"/>
  </r>
  <r>
    <x v="40"/>
    <s v="LIMPIEZA DE TODOS LOS A/C DE PANELES ELECTRICOS"/>
    <s v="Correctivo"/>
    <x v="2"/>
    <x v="40"/>
    <n v="1"/>
    <n v="8.5"/>
    <m/>
    <x v="37"/>
    <m/>
    <m/>
    <x v="1"/>
  </r>
  <r>
    <x v="45"/>
    <s v="LIMPIEZA E INSPECCION DE CONECTORES DE SENSORES DE BALANCINES"/>
    <s v="Preventivo"/>
    <x v="2"/>
    <x v="17"/>
    <n v="1"/>
    <n v="4"/>
    <m/>
    <x v="37"/>
    <m/>
    <m/>
    <x v="1"/>
  </r>
  <r>
    <x v="44"/>
    <s v="LIMPIEZA E INSPECCION DE CONECTORES DE FOTOCELDAS "/>
    <s v="Preventivo"/>
    <x v="2"/>
    <x v="17"/>
    <n v="1"/>
    <n v="4"/>
    <m/>
    <x v="37"/>
    <m/>
    <m/>
    <x v="2"/>
  </r>
  <r>
    <x v="0"/>
    <s v="REALIZAR CONEXION FORMAL DE ETHERNET PARA EWON"/>
    <s v="Preventivo"/>
    <x v="2"/>
    <x v="53"/>
    <n v="2"/>
    <n v="9"/>
    <m/>
    <x v="35"/>
    <m/>
    <s v="SE HIZO CONEXION FORMAL DEL EWON MEDIANTE CANALETA ELECTRICA"/>
    <x v="0"/>
  </r>
  <r>
    <x v="3"/>
    <s v="LIMPIEZA DE GRASA DEBAJO DE LLENADORA #57"/>
    <s v="Preventivo"/>
    <x v="7"/>
    <x v="43"/>
    <n v="1"/>
    <n v="3"/>
    <m/>
    <x v="35"/>
    <m/>
    <s v="PONER ATENCION A FAJAS DE TRACCION PARTE INFERIOR DE CARRUSEL "/>
    <x v="0"/>
  </r>
  <r>
    <x v="67"/>
    <s v="REALIZAR CASTIGADERA DEL C01 AL C05"/>
    <s v="Preventivo"/>
    <x v="7"/>
    <x v="44"/>
    <n v="1"/>
    <n v="4"/>
    <m/>
    <x v="35"/>
    <m/>
    <s v="SE REPROGRAMAN POR INCAPACIDAD"/>
    <x v="4"/>
  </r>
  <r>
    <x v="26"/>
    <s v="#67 — Limpieza general y lubricación de cadenas y sistema de transmisión"/>
    <s v="Preventivo"/>
    <x v="7"/>
    <x v="44"/>
    <n v="1"/>
    <n v="2"/>
    <m/>
    <x v="35"/>
    <m/>
    <s v="SE REPROGRAMAN POR INCAPACIDAD"/>
    <x v="4"/>
  </r>
  <r>
    <x v="10"/>
    <s v="#205 — Instalación de tapaderas"/>
    <s v="Preventivo"/>
    <x v="7"/>
    <x v="3"/>
    <n v="1"/>
    <n v="4"/>
    <m/>
    <x v="35"/>
    <m/>
    <m/>
    <x v="4"/>
  </r>
  <r>
    <x v="33"/>
    <s v="Reparación de canaletas electricas tramo debajo mezanine"/>
    <s v="Correctivo"/>
    <x v="7"/>
    <x v="3"/>
    <n v="1"/>
    <n v="3"/>
    <m/>
    <x v="35"/>
    <m/>
    <m/>
    <x v="4"/>
  </r>
  <r>
    <x v="6"/>
    <s v="#158 — Ej: frenos de enca y desenca"/>
    <s v="Preventivo"/>
    <x v="7"/>
    <x v="54"/>
    <n v="1"/>
    <n v="2"/>
    <m/>
    <x v="42"/>
    <m/>
    <m/>
    <x v="1"/>
  </r>
  <r>
    <x v="20"/>
    <s v="#158 — Ej: frenos de enca y desenca"/>
    <s v="Preventivo"/>
    <x v="7"/>
    <x v="54"/>
    <n v="1"/>
    <n v="2"/>
    <m/>
    <x v="42"/>
    <m/>
    <m/>
    <x v="1"/>
  </r>
  <r>
    <x v="19"/>
    <s v="LIMPIEZA E INSPECCION DE SENSORES TRP TARIMAS - #211"/>
    <s v="Preventivo"/>
    <x v="2"/>
    <x v="55"/>
    <n v="1"/>
    <n v="1"/>
    <m/>
    <x v="38"/>
    <m/>
    <m/>
    <x v="1"/>
  </r>
  <r>
    <x v="26"/>
    <s v="LIMPIEZA E INSPECCION DE SENSORES TRP TARIMAS - #211"/>
    <s v="Preventivo"/>
    <x v="2"/>
    <x v="55"/>
    <n v="1"/>
    <n v="1"/>
    <m/>
    <x v="38"/>
    <m/>
    <m/>
    <x v="1"/>
  </r>
  <r>
    <x v="4"/>
    <s v="#208 — Reordenamiento de cableado Ecolab"/>
    <s v="Correctivo"/>
    <x v="2"/>
    <x v="50"/>
    <n v="1"/>
    <n v="5"/>
    <m/>
    <x v="42"/>
    <m/>
    <m/>
    <x v="1"/>
  </r>
  <r>
    <x v="3"/>
    <s v="ORDENAMIENTO DE CABLE EN PANEL DE TAPAS - #193"/>
    <s v="Preventivo"/>
    <x v="2"/>
    <x v="56"/>
    <n v="1"/>
    <n v="5"/>
    <m/>
    <x v="42"/>
    <m/>
    <m/>
    <x v="1"/>
  </r>
  <r>
    <x v="0"/>
    <s v="#243 — Fuga en bomba de soda de tk1"/>
    <s v="Correctivo"/>
    <x v="7"/>
    <x v="57"/>
    <n v="1"/>
    <n v="1"/>
    <m/>
    <x v="42"/>
    <m/>
    <m/>
    <x v="1"/>
  </r>
  <r>
    <x v="68"/>
    <s v="Inspeccion por fugas dentro de Lauter"/>
    <s v="Correctivo"/>
    <x v="7"/>
    <x v="58"/>
    <n v="1"/>
    <m/>
    <m/>
    <x v="10"/>
    <m/>
    <m/>
    <x v="2"/>
  </r>
  <r>
    <x v="69"/>
    <s v="Soldadura de tubo para tecle"/>
    <s v="Correctivo"/>
    <x v="7"/>
    <x v="58"/>
    <n v="1"/>
    <m/>
    <m/>
    <x v="10"/>
    <m/>
    <m/>
    <x v="2"/>
  </r>
  <r>
    <x v="70"/>
    <s v="Mantenimiento a rodamientos y valvula rotativa"/>
    <s v="Correctivo"/>
    <x v="7"/>
    <x v="58"/>
    <n v="1"/>
    <m/>
    <m/>
    <x v="10"/>
    <m/>
    <m/>
    <x v="2"/>
  </r>
  <r>
    <x v="0"/>
    <s v="REVISION Y CAMBIO DE ACEITE TURBINA EXTRACTOR #1 AL #3"/>
    <s v="Preventivo"/>
    <x v="7"/>
    <x v="54"/>
    <n v="1"/>
    <n v="3"/>
    <m/>
    <x v="38"/>
    <m/>
    <m/>
    <x v="1"/>
  </r>
  <r>
    <x v="0"/>
    <s v="REVISION NIVEL DE ACEITE EN MOTOR UÑAS DE ENTRADA Y EMPUJADOR"/>
    <s v="Preventivo"/>
    <x v="7"/>
    <x v="54"/>
    <n v="1"/>
    <n v="1.5"/>
    <m/>
    <x v="38"/>
    <m/>
    <m/>
    <x v="2"/>
  </r>
  <r>
    <x v="10"/>
    <s v="ENDEREZADO DE PINES DE MALLA SUPERIOR E INFERIOR"/>
    <s v="Preventivo"/>
    <x v="7"/>
    <x v="59"/>
    <n v="1"/>
    <n v="5"/>
    <m/>
    <x v="38"/>
    <m/>
    <m/>
    <x v="1"/>
  </r>
  <r>
    <x v="33"/>
    <s v="#210 — Reparación de canaleta"/>
    <s v="Correctivo"/>
    <x v="7"/>
    <x v="57"/>
    <n v="1"/>
    <n v="5"/>
    <m/>
    <x v="38"/>
    <m/>
    <m/>
    <x v="1"/>
  </r>
  <r>
    <x v="0"/>
    <s v="#245 — Hacer tapas laterales en tanques estractores de etiketa"/>
    <s v="Correctivo"/>
    <x v="7"/>
    <x v="60"/>
    <n v="1"/>
    <n v="3"/>
    <m/>
    <x v="38"/>
    <m/>
    <m/>
    <x v="1"/>
  </r>
  <r>
    <x v="22"/>
    <s v="#189 — Reparación de cerradura"/>
    <s v="Correctivo"/>
    <x v="2"/>
    <x v="56"/>
    <n v="1"/>
    <n v="2"/>
    <m/>
    <x v="38"/>
    <m/>
    <m/>
    <x v="1"/>
  </r>
  <r>
    <x v="55"/>
    <s v="REVISION DE FOTOCELDAS Y REFLECTIVOS"/>
    <s v="Preventivo"/>
    <x v="2"/>
    <x v="55"/>
    <n v="1"/>
    <n v="2"/>
    <m/>
    <x v="38"/>
    <m/>
    <m/>
    <x v="1"/>
  </r>
  <r>
    <x v="3"/>
    <s v="#198 — Fuga en secador"/>
    <s v="Correctivo"/>
    <x v="2"/>
    <x v="56"/>
    <n v="1"/>
    <n v="2"/>
    <m/>
    <x v="38"/>
    <m/>
    <m/>
    <x v="2"/>
  </r>
  <r>
    <x v="19"/>
    <s v="INSPECCION POR FUGA DE AIRE EN COMPONENTES NEUMATICOS"/>
    <s v="Preventivo"/>
    <x v="2"/>
    <x v="50"/>
    <n v="1"/>
    <n v="1.5"/>
    <m/>
    <x v="38"/>
    <m/>
    <m/>
    <x v="2"/>
  </r>
  <r>
    <x v="52"/>
    <s v="INSPECCION POR FUGA DE AIRE EN COMPONENTES NEUMATICOS"/>
    <s v="Preventivo"/>
    <x v="2"/>
    <x v="50"/>
    <n v="1"/>
    <n v="1.5"/>
    <m/>
    <x v="38"/>
    <m/>
    <m/>
    <x v="2"/>
  </r>
  <r>
    <x v="20"/>
    <s v="INSPECCION POR FUGA DE AIRE EN COMPONENTES NEUMATICOS"/>
    <s v="Preventivo"/>
    <x v="2"/>
    <x v="50"/>
    <n v="1"/>
    <n v="1.5"/>
    <m/>
    <x v="38"/>
    <m/>
    <m/>
    <x v="2"/>
  </r>
  <r>
    <x v="6"/>
    <s v="INSPECCION POR FUGA DE AIRE EN COMPONENTES NEUMATICOS"/>
    <s v="Preventivo"/>
    <x v="2"/>
    <x v="50"/>
    <n v="1"/>
    <n v="1.5"/>
    <m/>
    <x v="38"/>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F5AB7-F740-4C9F-B052-36E73A821DC6}" name="Tabla dinámica5" cacheId="94"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37:D50" firstHeaderRow="1" firstDataRow="2" firstDataCol="1"/>
  <pivotFields count="12">
    <pivotField axis="axisRow" compact="0" outline="0" showAll="0">
      <items count="72">
        <item x="1"/>
        <item x="27"/>
        <item x="24"/>
        <item x="20"/>
        <item x="8"/>
        <item x="5"/>
        <item x="16"/>
        <item x="21"/>
        <item x="14"/>
        <item x="25"/>
        <item x="26"/>
        <item x="18"/>
        <item x="23"/>
        <item x="6"/>
        <item x="11"/>
        <item x="13"/>
        <item x="9"/>
        <item x="22"/>
        <item x="12"/>
        <item x="15"/>
        <item x="0"/>
        <item x="4"/>
        <item x="3"/>
        <item x="7"/>
        <item x="19"/>
        <item x="10"/>
        <item x="2"/>
        <item x="17"/>
        <item x="28"/>
        <item x="29"/>
        <item x="30"/>
        <item x="31"/>
        <item x="32"/>
        <item x="33"/>
        <item x="34"/>
        <item x="35"/>
        <item x="36"/>
        <item x="37"/>
        <item x="38"/>
        <item x="39"/>
        <item x="40"/>
        <item x="42"/>
        <item x="41"/>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4">
        <item h="1" x="4"/>
        <item h="1" x="0"/>
        <item h="1" x="1"/>
        <item h="1" x="7"/>
        <item h="1" x="5"/>
        <item h="1" x="6"/>
        <item h="1" x="8"/>
        <item h="1" x="2"/>
        <item h="1" x="11"/>
        <item h="1" x="3"/>
        <item h="1" x="9"/>
        <item h="1" x="12"/>
        <item h="1" x="13"/>
        <item h="1" x="14"/>
        <item h="1" x="15"/>
        <item h="1" x="16"/>
        <item h="1" x="17"/>
        <item h="1" x="18"/>
        <item h="1" x="20"/>
        <item h="1" x="19"/>
        <item h="1" x="21"/>
        <item h="1" x="22"/>
        <item h="1" x="23"/>
        <item h="1" x="24"/>
        <item h="1" x="27"/>
        <item h="1" x="26"/>
        <item h="1" x="28"/>
        <item h="1" x="25"/>
        <item h="1" x="29"/>
        <item h="1" x="32"/>
        <item h="1" x="30"/>
        <item h="1" x="31"/>
        <item h="1" x="33"/>
        <item h="1" x="36"/>
        <item h="1" x="34"/>
        <item h="1" x="39"/>
        <item h="1" x="40"/>
        <item h="1" x="41"/>
        <item h="1" x="37"/>
        <item h="1" x="35"/>
        <item h="1" x="42"/>
        <item x="38"/>
        <item h="1" x="10"/>
        <item t="default"/>
      </items>
    </pivotField>
    <pivotField compact="0" outline="0" showAll="0"/>
    <pivotField compact="0" outline="0" showAll="0"/>
    <pivotField axis="axisCol" dataField="1" compact="0" outline="0" showAll="0">
      <items count="6">
        <item x="1"/>
        <item x="0"/>
        <item x="3"/>
        <item x="2"/>
        <item x="4"/>
        <item t="default"/>
      </items>
    </pivotField>
  </pivotFields>
  <rowFields count="1">
    <field x="0"/>
  </rowFields>
  <rowItems count="12">
    <i>
      <x v="3"/>
    </i>
    <i>
      <x v="10"/>
    </i>
    <i>
      <x v="13"/>
    </i>
    <i>
      <x v="17"/>
    </i>
    <i>
      <x v="20"/>
    </i>
    <i>
      <x v="22"/>
    </i>
    <i>
      <x v="24"/>
    </i>
    <i>
      <x v="25"/>
    </i>
    <i>
      <x v="33"/>
    </i>
    <i>
      <x v="52"/>
    </i>
    <i>
      <x v="55"/>
    </i>
    <i t="grand">
      <x/>
    </i>
  </rowItems>
  <colFields count="1">
    <field x="11"/>
  </colFields>
  <colItems count="3">
    <i>
      <x/>
    </i>
    <i>
      <x v="3"/>
    </i>
    <i t="grand">
      <x/>
    </i>
  </colItems>
  <dataFields count="1">
    <dataField name="Cuenta de E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74512-11D6-4E77-B550-EDD8FA5E6D1C}" name="Tabla dinámica3" cacheId="94" applyNumberFormats="0" applyBorderFormats="0" applyFontFormats="0" applyPatternFormats="0" applyAlignmentFormats="0" applyWidthHeightFormats="1" dataCaption="Valores" updatedVersion="8" minRefreshableVersion="3" itemPrintTitles="1" createdVersion="8" indent="0" compact="0" compactData="0" multipleFieldFilters="0" chartFormat="3">
  <location ref="C18:F22" firstHeaderRow="1" firstDataRow="2" firstDataCol="1"/>
  <pivotFields count="12">
    <pivotField compact="0" outline="0" showAll="0"/>
    <pivotField compact="0" outline="0" showAll="0"/>
    <pivotField compact="0" outline="0" showAll="0"/>
    <pivotField axis="axisRow" compact="0" outline="0" showAll="0">
      <items count="16">
        <item x="2"/>
        <item x="0"/>
        <item x="1"/>
        <item x="3"/>
        <item x="4"/>
        <item m="1" x="13"/>
        <item x="5"/>
        <item x="6"/>
        <item m="1" x="14"/>
        <item x="7"/>
        <item m="1" x="11"/>
        <item x="8"/>
        <item m="1" x="12"/>
        <item x="9"/>
        <item x="10"/>
        <item t="default"/>
      </items>
    </pivotField>
    <pivotField compact="0" outline="0" showAll="0"/>
    <pivotField compact="0" outline="0" showAll="0"/>
    <pivotField compact="0" outline="0" showAll="0"/>
    <pivotField compact="0" outline="0" showAll="0"/>
    <pivotField compact="0" outline="0" showAll="0">
      <items count="44">
        <item h="1" x="4"/>
        <item h="1" x="0"/>
        <item h="1" x="1"/>
        <item h="1" x="7"/>
        <item h="1" x="5"/>
        <item h="1" x="6"/>
        <item h="1" x="8"/>
        <item h="1" x="2"/>
        <item h="1" x="11"/>
        <item h="1" x="3"/>
        <item h="1" x="9"/>
        <item h="1" x="12"/>
        <item h="1" x="13"/>
        <item h="1" x="14"/>
        <item h="1" x="15"/>
        <item h="1" x="16"/>
        <item h="1" x="17"/>
        <item h="1" x="18"/>
        <item h="1" x="20"/>
        <item h="1" x="19"/>
        <item h="1" x="21"/>
        <item h="1" x="22"/>
        <item h="1" x="23"/>
        <item h="1" x="24"/>
        <item h="1" x="27"/>
        <item h="1" x="26"/>
        <item h="1" x="28"/>
        <item h="1" x="25"/>
        <item h="1" x="29"/>
        <item h="1" x="32"/>
        <item h="1" x="30"/>
        <item h="1" x="31"/>
        <item h="1" x="33"/>
        <item h="1" x="36"/>
        <item h="1" x="34"/>
        <item h="1" x="39"/>
        <item h="1" x="40"/>
        <item h="1" x="41"/>
        <item h="1" x="37"/>
        <item h="1" x="35"/>
        <item h="1" x="42"/>
        <item x="38"/>
        <item h="1" x="10"/>
        <item t="default"/>
      </items>
    </pivotField>
    <pivotField compact="0" outline="0" showAll="0"/>
    <pivotField compact="0" outline="0" showAll="0"/>
    <pivotField axis="axisCol" dataField="1" compact="0" outline="0" showAll="0">
      <items count="6">
        <item x="1"/>
        <item x="0"/>
        <item x="2"/>
        <item x="3"/>
        <item x="4"/>
        <item t="default"/>
      </items>
    </pivotField>
  </pivotFields>
  <rowFields count="1">
    <field x="3"/>
  </rowFields>
  <rowItems count="3">
    <i>
      <x/>
    </i>
    <i>
      <x v="9"/>
    </i>
    <i t="grand">
      <x/>
    </i>
  </rowItems>
  <colFields count="1">
    <field x="11"/>
  </colFields>
  <colItems count="3">
    <i>
      <x/>
    </i>
    <i>
      <x v="2"/>
    </i>
    <i t="grand">
      <x/>
    </i>
  </colItems>
  <dataFields count="1">
    <dataField name="Cuenta de Estatus" fld="11" subtotal="count" showDataAs="percentOfTotal" baseField="0" baseItem="0" numFmtId="10"/>
  </dataField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1">
          <reference field="4294967294" count="1" selected="0">
            <x v="0"/>
          </reference>
        </references>
      </pivotArea>
    </chartFormat>
    <chartFormat chart="0" format="15" series="1">
      <pivotArea type="data" outline="0" fieldPosition="0">
        <references count="2">
          <reference field="4294967294" count="1" selected="0">
            <x v="0"/>
          </reference>
          <reference field="11" count="1" selected="0">
            <x v="3"/>
          </reference>
        </references>
      </pivotArea>
    </chartFormat>
    <chartFormat chart="0" format="16">
      <pivotArea type="data" outline="0" fieldPosition="0">
        <references count="1">
          <reference field="4294967294" count="1" selected="0">
            <x v="0"/>
          </reference>
        </references>
      </pivotArea>
    </chartFormat>
    <chartFormat chart="0" format="23"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3C76A-D293-49B1-BDB9-8E95650C3BAE}" name="Tabla dinámica2" cacheId="9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
  <location ref="D2:E5" firstHeaderRow="1" firstDataRow="1" firstDataCol="1"/>
  <pivotFields count="1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4">
        <item h="1" x="4"/>
        <item h="1" x="0"/>
        <item h="1" x="1"/>
        <item h="1" x="7"/>
        <item h="1" x="5"/>
        <item h="1" x="6"/>
        <item h="1" x="8"/>
        <item h="1" x="2"/>
        <item h="1" x="11"/>
        <item h="1" x="3"/>
        <item h="1" x="9"/>
        <item h="1" x="12"/>
        <item h="1" x="13"/>
        <item h="1" x="14"/>
        <item h="1" x="15"/>
        <item h="1" x="16"/>
        <item h="1" x="17"/>
        <item h="1" x="18"/>
        <item h="1" x="20"/>
        <item h="1" x="19"/>
        <item h="1" x="21"/>
        <item h="1" x="22"/>
        <item h="1" x="23"/>
        <item h="1" x="24"/>
        <item h="1" x="27"/>
        <item h="1" x="26"/>
        <item h="1" x="28"/>
        <item h="1" x="25"/>
        <item h="1" x="29"/>
        <item h="1" x="32"/>
        <item h="1" x="30"/>
        <item h="1" x="31"/>
        <item h="1" x="33"/>
        <item h="1" x="36"/>
        <item h="1" x="34"/>
        <item h="1" x="39"/>
        <item h="1" x="40"/>
        <item h="1" x="41"/>
        <item h="1" x="37"/>
        <item h="1" x="35"/>
        <item h="1" x="42"/>
        <item x="38"/>
        <item h="1" x="10"/>
        <item t="default"/>
      </items>
    </pivotField>
    <pivotField compact="0" outline="0" showAll="0"/>
    <pivotField compact="0" outline="0" showAll="0"/>
    <pivotField axis="axisRow" dataField="1" compact="0" outline="0" showAll="0">
      <items count="6">
        <item x="1"/>
        <item x="0"/>
        <item x="2"/>
        <item x="3"/>
        <item x="4"/>
        <item t="default"/>
      </items>
    </pivotField>
  </pivotFields>
  <rowFields count="1">
    <field x="11"/>
  </rowFields>
  <rowItems count="3">
    <i>
      <x/>
    </i>
    <i>
      <x v="2"/>
    </i>
    <i t="grand">
      <x/>
    </i>
  </rowItems>
  <colItems count="1">
    <i/>
  </colItems>
  <dataFields count="1">
    <dataField name="Cuenta de Estatus" fld="1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1" format="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643525-5696-4D5A-A92C-69F9B07FF326}" name="Tabla dinámica4" cacheId="9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2:B58" firstHeaderRow="1" firstDataRow="1" firstDataCol="1"/>
  <pivotFields count="12">
    <pivotField compact="0" outline="0" showAll="0"/>
    <pivotField compact="0" outline="0" showAll="0"/>
    <pivotField axis="axisRow" dataField="1" compact="0" outline="0" showAll="0">
      <items count="6">
        <item x="1"/>
        <item x="4"/>
        <item x="2"/>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Cuenta de Tipo "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9E4432-CF2B-412B-AE92-D6A032FC0AB0}" name="Tabla dinámica1" cacheId="94" applyNumberFormats="0" applyBorderFormats="0" applyFontFormats="0" applyPatternFormats="0" applyAlignmentFormats="0" applyWidthHeightFormats="1" dataCaption="Valores" updatedVersion="8" minRefreshableVersion="3" itemPrintTitles="1" createdVersion="8" indent="0" compact="0" compactData="0" multipleFieldFilters="0" chartFormat="8">
  <location ref="A3:B11" firstHeaderRow="1" firstDataRow="1" firstDataCol="1"/>
  <pivotFields count="12">
    <pivotField compact="0" outline="0" showAll="0"/>
    <pivotField compact="0" outline="0" showAll="0"/>
    <pivotField compact="0" outline="0" showAll="0"/>
    <pivotField compact="0" outline="0" multipleItemSelectionAllowed="1" showAll="0">
      <items count="16">
        <item x="10"/>
        <item x="2"/>
        <item x="6"/>
        <item x="4"/>
        <item x="7"/>
        <item x="0"/>
        <item m="1" x="12"/>
        <item m="1" x="11"/>
        <item x="9"/>
        <item x="1"/>
        <item m="1" x="14"/>
        <item x="5"/>
        <item x="8"/>
        <item m="1" x="13"/>
        <item x="3"/>
        <item t="default"/>
      </items>
    </pivotField>
    <pivotField axis="axisRow" compact="0" outline="0" showAll="0">
      <items count="62">
        <item x="39"/>
        <item x="37"/>
        <item x="38"/>
        <item x="22"/>
        <item x="28"/>
        <item x="34"/>
        <item x="7"/>
        <item x="15"/>
        <item x="20"/>
        <item x="36"/>
        <item x="11"/>
        <item x="42"/>
        <item x="1"/>
        <item x="19"/>
        <item x="5"/>
        <item x="33"/>
        <item x="30"/>
        <item x="35"/>
        <item x="21"/>
        <item x="31"/>
        <item x="27"/>
        <item x="12"/>
        <item x="17"/>
        <item x="25"/>
        <item x="43"/>
        <item x="16"/>
        <item x="41"/>
        <item x="44"/>
        <item x="14"/>
        <item x="24"/>
        <item x="13"/>
        <item x="9"/>
        <item x="3"/>
        <item x="32"/>
        <item x="2"/>
        <item x="29"/>
        <item x="18"/>
        <item x="40"/>
        <item x="26"/>
        <item x="8"/>
        <item x="4"/>
        <item x="6"/>
        <item x="23"/>
        <item x="10"/>
        <item x="0"/>
        <item x="45"/>
        <item x="46"/>
        <item x="47"/>
        <item x="49"/>
        <item x="48"/>
        <item x="51"/>
        <item x="52"/>
        <item x="53"/>
        <item x="50"/>
        <item x="54"/>
        <item x="55"/>
        <item x="56"/>
        <item x="57"/>
        <item x="58"/>
        <item x="59"/>
        <item x="60"/>
        <item t="default"/>
      </items>
    </pivotField>
    <pivotField compact="0" outline="0" showAll="0"/>
    <pivotField dataField="1" compact="0" outline="0" showAll="0"/>
    <pivotField compact="0" outline="0" showAll="0"/>
    <pivotField compact="0" outline="0" showAll="0">
      <items count="44">
        <item h="1" x="4"/>
        <item h="1" x="0"/>
        <item h="1" x="1"/>
        <item h="1" x="7"/>
        <item h="1" x="5"/>
        <item h="1" x="6"/>
        <item h="1" x="8"/>
        <item h="1" x="2"/>
        <item h="1" x="11"/>
        <item h="1" x="3"/>
        <item h="1" x="9"/>
        <item h="1" x="12"/>
        <item h="1" x="13"/>
        <item h="1" x="14"/>
        <item h="1" x="15"/>
        <item h="1" x="16"/>
        <item h="1" x="17"/>
        <item h="1" x="18"/>
        <item h="1" x="20"/>
        <item h="1" x="19"/>
        <item h="1" x="21"/>
        <item h="1" x="22"/>
        <item h="1" x="23"/>
        <item h="1" x="24"/>
        <item h="1" x="27"/>
        <item h="1" x="26"/>
        <item h="1" x="28"/>
        <item h="1" x="25"/>
        <item h="1" x="29"/>
        <item h="1" x="32"/>
        <item h="1" x="30"/>
        <item h="1" x="31"/>
        <item h="1" x="33"/>
        <item h="1" x="36"/>
        <item h="1" x="34"/>
        <item h="1" x="39"/>
        <item h="1" x="40"/>
        <item h="1" x="41"/>
        <item h="1" x="37"/>
        <item h="1" x="35"/>
        <item h="1" x="42"/>
        <item x="38"/>
        <item h="1" x="10"/>
        <item t="default"/>
      </items>
    </pivotField>
    <pivotField compact="0" outline="0" showAll="0"/>
    <pivotField compact="0" outline="0" showAll="0"/>
    <pivotField compact="0" outline="0" showAll="0"/>
  </pivotFields>
  <rowFields count="1">
    <field x="4"/>
  </rowFields>
  <rowItems count="8">
    <i>
      <x v="53"/>
    </i>
    <i>
      <x v="54"/>
    </i>
    <i>
      <x v="55"/>
    </i>
    <i>
      <x v="56"/>
    </i>
    <i>
      <x v="57"/>
    </i>
    <i>
      <x v="59"/>
    </i>
    <i>
      <x v="60"/>
    </i>
    <i t="grand">
      <x/>
    </i>
  </rowItems>
  <colItems count="1">
    <i/>
  </colItems>
  <dataFields count="1">
    <dataField name="Suma de Tiempo estimado (h)" fld="6"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de_programación" xr10:uid="{6FB6F90A-19E8-4042-9985-AE7E9639B280}" sourceName="Fecha de programación">
  <pivotTables>
    <pivotTable tabId="2" name="Tabla dinámica5"/>
    <pivotTable tabId="2" name="Tabla dinámica3"/>
    <pivotTable tabId="2" name="Tabla dinámica2"/>
    <pivotTable tabId="2" name="Tabla dinámica1"/>
  </pivotTables>
  <data>
    <tabular pivotCacheId="1684554270">
      <items count="43">
        <i x="4"/>
        <i x="0"/>
        <i x="1"/>
        <i x="7"/>
        <i x="5"/>
        <i x="6"/>
        <i x="8"/>
        <i x="2"/>
        <i x="11"/>
        <i x="3"/>
        <i x="9"/>
        <i x="12"/>
        <i x="13"/>
        <i x="14"/>
        <i x="15"/>
        <i x="16"/>
        <i x="17"/>
        <i x="18"/>
        <i x="20"/>
        <i x="19"/>
        <i x="21"/>
        <i x="22"/>
        <i x="23"/>
        <i x="24"/>
        <i x="27"/>
        <i x="26"/>
        <i x="28"/>
        <i x="25"/>
        <i x="29"/>
        <i x="32"/>
        <i x="30"/>
        <i x="31"/>
        <i x="33"/>
        <i x="36"/>
        <i x="34"/>
        <i x="39"/>
        <i x="40"/>
        <i x="41"/>
        <i x="37"/>
        <i x="35"/>
        <i x="42"/>
        <i x="38" s="1"/>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ersonal" xr10:uid="{8CC6B64E-176E-424D-AA1E-F13A8DCF500A}" sourceName="Personal">
  <pivotTables>
    <pivotTable tabId="2" name="Tabla dinámica1"/>
  </pivotTables>
  <data>
    <tabular pivotCacheId="1684554270">
      <items count="15">
        <i x="2" s="1"/>
        <i x="7" s="1"/>
        <i x="10" s="1" nd="1"/>
        <i x="6" s="1" nd="1"/>
        <i x="4" s="1" nd="1"/>
        <i x="0" s="1" nd="1"/>
        <i x="12" s="1" nd="1"/>
        <i x="11" s="1" nd="1"/>
        <i x="9" s="1" nd="1"/>
        <i x="1" s="1" nd="1"/>
        <i x="14" s="1" nd="1"/>
        <i x="5" s="1" nd="1"/>
        <i x="8" s="1" nd="1"/>
        <i x="13"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 de programación" xr10:uid="{03E8F8FF-DA06-4A2D-A5FB-E508217EC4A7}" cache="SegmentaciónDeDatos_Fecha_de_programación" caption="Fecha de programación" startItem="39" rowHeight="228600"/>
  <slicer name="Personal" xr10:uid="{17D41D0D-AB35-411D-BC74-4F145293C6EB}" cache="SegmentaciónDeDatos_Personal" caption="Personal" startItem="3"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AFEF04-CE17-497C-97ED-C0B952CEA463}" name="Tabla1" displayName="Tabla1" ref="B3:M681" totalsRowShown="0" headerRowDxfId="11" headerRowBorderDxfId="9" tableBorderDxfId="10" totalsRowBorderDxfId="8">
  <autoFilter xmlns:x14="http://schemas.microsoft.com/office/spreadsheetml/2009/9/main" ref="B3:M681" xr:uid="{B1AFEF04-CE17-497C-97ED-C0B952CEA463}">
    <filterColumn colId="0">
      <filters>
        <filter val="Bascula envasado"/>
        <filter val="Ciclón de Silo"/>
        <filter val="Desecajonadora"/>
        <filter val="Desempacadora"/>
        <filter val="Desencajonador"/>
        <filter val="Desencajonadora"/>
        <filter val="Despalet 150"/>
        <filter val="Despalet 300"/>
        <filter val="Despalet de botellas"/>
        <filter val="Despalet de caja"/>
        <filter val="Despalet de cajas"/>
        <filter val="Despaletizadora 150"/>
        <filter val="Despaletizadora 300"/>
        <filter val="Despaletizadora botella"/>
        <filter val="Despaletizadora botellas"/>
        <filter val="Despaletizadora Caja"/>
        <filter val="DPL CAJ"/>
        <filter val="DPL CAJA"/>
        <filter val="EBI"/>
        <filter val="Encajonador"/>
        <filter val="Encajonadora"/>
        <filter val="Envasado"/>
        <filter val="Etiquetadora"/>
        <filter val="General"/>
        <filter val="Inpector de envase"/>
        <filter val="Inspector"/>
        <filter val="Inspector de envase"/>
        <filter val="Inspector de etiqueta"/>
        <filter val="Inspector de nivel de botella llena"/>
        <filter val="Lauter"/>
        <filter val="Lavadora de botellas"/>
        <filter val="Lavadora de cajas"/>
        <filter val="Llenadora"/>
        <filter val="MEZANINE"/>
        <filter val="Palet"/>
        <filter val="Paletizadora"/>
        <filter val="Pasteurizador"/>
        <filter val="Tolva de azúcar"/>
        <filter val="Transporte"/>
        <filter val="Transporte botella"/>
        <filter val="Transporte caja"/>
        <filter val="TRANSPORTE CAJAS"/>
        <filter val="Transporte de botella"/>
        <filter val="Transporte ENCA a PLT"/>
        <filter val="Transporte LAVBOT a EBI"/>
        <filter val="Transporte LLN a PAST"/>
        <filter val="TRP BYPASS"/>
        <filter val="TRP CAJA"/>
        <filter val="TRP CAJA SUCIA"/>
        <filter val="TRP DESENCA A LAVBOT"/>
        <filter val="TRP DESENCA A LAVCAJ"/>
        <filter val="TRP DPL CAJ A DESENCA"/>
        <filter val="TRP DPL CAJA A DESENCA"/>
        <filter val="TRP EBI A LAVBOT"/>
        <filter val="TRP EBI A LLEN"/>
        <filter val="TRP ENCA A PALET"/>
        <filter val="TRP ENCA A PLT"/>
        <filter val="TRP ETQ A ENCA"/>
        <filter val="TRP LAV EBI"/>
        <filter val="TRP LAVBOT A EBI"/>
        <filter val="TRP LAVCAJ A ENCA"/>
        <filter val="TRP LLEN A PAST"/>
        <filter val="TRP PAST A ETQ"/>
        <filter val="TRP PAST A SEC"/>
        <filter val="TRP PAST A SECADOR"/>
        <filter val="TRP RECHAZO"/>
        <filter val="TRP SECADOR A ETQ"/>
        <filter val="VOLTEADOR DE CAJAS"/>
      </filters>
    </filterColumn>
    <filterColumn colId="1">
      <filters>
        <filter val="#158 — Ej: frenos de enca y desenca"/>
        <filter val="#189 — Reparación de cerradura"/>
        <filter val="#198 — Fuga en secador"/>
        <filter val="#205 — Instalación de tapaderas"/>
        <filter val="#208 — Reordenamiento de cableado Ecolab"/>
        <filter val="#210 — Reparación de canaleta"/>
        <filter val="#243 — Fuga en bomba de soda de tk1"/>
        <filter val="#245 — Hacer tapas laterales en tanques estractores de etiketa"/>
        <filter val="#67 — Limpieza general y lubricación de cadenas y sistema de transmisión"/>
        <filter val="*Inspeccion para limpieza de serpentines de vapor"/>
        <filter val="*Inspección y limpieza de guías de malla transportadora de pasteurizador"/>
        <filter val="*Limpieza de cadenas tramo C"/>
        <filter val="*Limpieza de cadenas tramo F"/>
        <filter val="*Mantenimiento a serpentines de vapor, se debe realizar limpieza externa"/>
        <filter val="*Posicionar sonda de nivel en tanques 10 cm abajo"/>
        <filter val="AGUJERO PASADO A TORNILLO SINFIN PARA APRETAR MANGUITO 750"/>
        <filter val="AISLAR MANOMETROS CON VALVULA DE BOLA DE TK1, 2 Y 3"/>
        <filter val="Aislar presostato de vapor en entrada principal"/>
        <filter val="Anclar guarda de seguridad perimetral"/>
        <filter val="Anclar pasarela de paletizadora al piso"/>
        <filter val="Añadir dreno en entrada principal de vapor"/>
        <filter val="APOYO A MOVIMIENTO DE MALLA EXTRACTOR 2"/>
        <filter val="Aprete de prisioneros de las catarinas de ejes de elevación"/>
        <filter val="Apriete de tuercas de sujeción de vástagos en cabezales de Regia 750ml"/>
        <filter val="Apriete de tuercas de sujeción de vástagos en cabezales de Suprema 330ml"/>
        <filter val="Apriete de tuercas y prisionero de brazo de traslacion y seguidor de leva de cabezal de elevacion"/>
        <filter val="Apriete de tuercas y prisionero de brazo de traslacion y seguir de leva de cabezal de elevacion"/>
        <filter val="Arreglar guía de baranda y soldar unión de baranda en entrada a pasteurizador en motor B26"/>
        <filter val="CABLEADO Y CONEXION DE CARTONERO"/>
        <filter val="CABLEADO Y CONEXION DESDE LLENADORA A CCM ELAB"/>
        <filter val="Calibrar sensor de presión de agua en tubería de entrada"/>
        <filter val="Calibrar válvula proporcional del economizador"/>
        <filter val="Cambiar grapas de banda engomada de volteador de cajas"/>
        <filter val="Cambiar manómetro de unidad de mantenimiento"/>
        <filter val="CAMBIAR PERNOS POR REMACHES DE GUIAS HORIZONTALES"/>
        <filter val="Cambio de aceite general de motorreductores de transporte de botellas"/>
        <filter val="CAMBIO DE CHUMACERA UC211 Y REVISION DE LUBRICACION"/>
        <filter val="CAMBIO DE CONECTORES A IP69 DE BALANCINES"/>
        <filter val="CAMBIO DE ESPONJAS PRESENTACION 750ML"/>
        <filter val="CAMBIO DE FAJA TRANSPORTA BOTELLAS"/>
        <filter val="CAMBIO DE FILTROS POLARIZADORES DEL EBI"/>
        <filter val="Cambio de guias de desliz de malla extractor #1"/>
        <filter val="CAMBIO DE GUIAS DE DESLIZAMIENTO TANQUE #2"/>
        <filter val="CAMBIO DE HABAS CONICAS #218"/>
        <filter val="Cambio de pistón de freno de cajas en entrada"/>
        <filter val="CAMBIO DE RACORES PARA VASTAGOS EN CABEZALES DE TULIPAS"/>
        <filter val="CAMBIO DE RECTIFICADOR Y CONEXION DE MOTORREDUCTOR"/>
        <filter val="Cambio de retendores en caja reductora #1"/>
        <filter val="CAMBIO DE RETENEDOR DE MOTOR B-06"/>
        <filter val="CAMBIO DE RETENEDOR DE MOTOR B-08"/>
        <filter val="CAMBIO DE RETENEDOR DE MOTOR B-36"/>
        <filter val="CAMBIO DE RETENEDOR DE MOTOR C-06"/>
        <filter val="CAMBIO DE RETENEDOR POR FUGA MOTOR B44"/>
        <filter val="CAMBIO DE RETENEDOR POR FUGA MOTOR C10"/>
        <filter val="CAMBIO DE RETENEDOR POR FUGA MOTOR C18"/>
        <filter val="CAMBIO DE RETENEDOR R1 135X170X12"/>
        <filter val="CAMBIO DE RETENEDOR R2 118X150X12"/>
        <filter val="Cambio de retenedores en motor B22"/>
        <filter val="Cambio de retenedores en motor de rechazo"/>
        <filter val="Cambio de retenedores para motores B05, B09, B10, B44, C09, C17 y C18"/>
        <filter val="CAMBIO DE RETENEDORES R1 Y R2 POR FUGA"/>
        <filter val="Cambio de sello mecánico de bomba de soda TK 3"/>
        <filter val="Cambio de sello mecánico de bomba tk 1"/>
        <filter val="Cambio de sello mecánico de bomba tk 2"/>
        <filter val="CAMBIO DE SENSORES DE ENTRADA DE PASTEURIZADOR"/>
        <filter val="COLOCACION DE CONECTORES IP69 EN SENSORES DE BALANCINES"/>
        <filter val="COLOCACION DE FILTRO PARA DRENOS DE ENJUAGUE FINAL"/>
        <filter val="COLOCACION DE GUIA PIN ROLL A GUIA BLANCA DE CORONADOR"/>
        <filter val="COLOCACION DE LAMINA A MESA PORTACABEZALES"/>
        <filter val="Colocación de pin roll a guías plásticas de cuello de salida de coronador"/>
        <filter val="Colocación de punteras a canastos"/>
        <filter val="COLOCACION DE RUEDAS LOCAS CON FRENO A ESCALERA DE SALIDA DE LLENADORA Y MESAS DE PORTACABEZALES"/>
        <filter val="COLOCACION DE TAPADERA DE CANALETA ELECTRICA #205"/>
        <filter val="COLOCACIÓN DE TUBERÍA 2&quot; PARA DRENO DE BOMBA DE VACIO"/>
        <filter val="COLOCACION Y CABLEADO DE BOTONERA EN ENCAJONADORA"/>
        <filter val="COLOCACION Y CABLEADO DE BOTONERA EN PASTEURIZADOR"/>
        <filter val="Colocar bulones a peines faltantes y montarlos en máquina"/>
        <filter val="COLOCAR CASTIGADERA A MOTORES DEL B09 AL B17"/>
        <filter val="Colocar pin roll a guias de gaviotas para formato 330"/>
        <filter val="Colocar seguro Omega para eje 40 y perforar eje para que prisionero no se mueva"/>
        <filter val="Colocar sensor nuevo en entrada a pasteurizador cama superior y verificar que no quede expuesto"/>
        <filter val="Colocar tapa en todas las canaletas de la línea"/>
        <filter val="Colocar tapón para recuperar válvula de 1/2&quot; en intercambiador de vapor"/>
        <filter val="Colocar tapones en agujeros de termopozos"/>
        <filter val="Colocar tuercas de seguridad a espárragos de marco centrador"/>
        <filter val="COLOCARLE VARILLA ROSCADA PARA AJUSTE DE FORMATO"/>
        <filter val="CONEXION DE BOMBA DE PREENJUAGUE"/>
        <filter val="Conexión de donas eléctricas en gabinete de mezanine de envasado 440V"/>
        <filter val="CONEXION DE FLUJOMETRO DE CO2"/>
        <filter val="CONEXION DE MOTOR B10"/>
        <filter val="Conexion de sensor FDC NPN"/>
        <filter val="Corte de guías de levas de descarga"/>
        <filter val="CREACION DE RECETA Y ESTANDAR DE SUPREMA ROJA 330ML"/>
        <filter val="Darle vuelta en sentido correcto a valvula proporcional"/>
        <filter val="DESATASCO DE MALLLA EXTRACTOR 2"/>
        <filter val="Desconexion de presostato de vapor en entrada principal"/>
        <filter val="DESCONEXION Y CONEXION MOTOR BYPASS"/>
        <filter val="Desconexion y re conexión de bomba de soda TK 3"/>
        <filter val="Desmontaje de cadena y limpieza transporte de salida de inspector a entrada de llenadora"/>
        <filter val="Desmontaje de cadena y limpieza transporte de salida de llenadora hasta motor B24"/>
        <filter val="DESMONTAJE, LIMPIEZA E INSPECCION DE CADENAS, GUIAS DE DESLIZAMIENTO Y GUIAS LATERALES"/>
        <filter val="DESTAPONADO DE INYECTORES DE DUCHAS DE TANQUES 1 Y 3"/>
        <filter val="DRENO DE LAVADORA DE BOTELLAS"/>
        <filter val="ELIMINAR SISTEMA INTERLOCKS DE CONTACTOS K342 - K302"/>
        <filter val="ENDEREZADO DE 3 CANASTOS TORCIDOS"/>
        <filter val="Enderezado de 32 canastos torcidos y cambio de espárragos"/>
        <filter val="ENDEREZADO DE CANALETA ELECTRICA EXTRACTOR #3"/>
        <filter val="ENDEREZADO DE CANALETA ELECTRICA MESA DE MAQUINA"/>
        <filter val="ENDEREZADO DE CANASTOR PORTABOTELLAS"/>
        <filter val="Enderezado de canastos"/>
        <filter val="Enderezado de canastos faltantes en lavadora y montar en máquina"/>
        <filter val="ENDEREZADO DE PINES DE MALLA SUPERIOR E INFERIOR"/>
        <filter val="Enderezar 6 canastos torcidos fuera de la máquina"/>
        <filter val="Engrase de seguidores de leva en carro de desplazamiento vertical y horizontal"/>
        <filter val="Engrase de sistema de accionamiento manual"/>
        <filter val="Engrase de sistema de accionamiento principal"/>
        <filter val="ENGRASE MANUAL DE SISTEMA DE LUBRICACION"/>
        <filter val="Enviar motorreductor B22 a calzar alojamiento con proveedor externo"/>
        <filter val="ENVIO DE MOTOR B09 A MANTENIMIENTO POR RECTIFICADO DE EJE"/>
        <filter val="ENVIO DE MOTOR B11 A MANTENIMIENTO POR CAMBIO DE RODAMIENTOS"/>
        <filter val="ETIQUETADO DE CABLES DE CONEXION DE MOTORREDUCTORES"/>
        <filter val="FABRICACION DE BANDEJA RECOLECTORA DE LUBRICACION TRAMO SALIDA LAVADORA"/>
        <filter val="Fabricacion de soporte para peine de aire"/>
        <filter val="Fabricación de tope de mesa de descarga (Preguntar a Erick Lopez)"/>
        <filter val="FABRICACION Y COLOCACION DE BANDEROLAS PARA DESENCAJONADOR"/>
        <filter val="Fijar posición de cepillos y soportes 750 aplicando loctitte azul a los tornillos"/>
        <filter val="Girar chumacera de transporte de entrada a secador para que la grasera quede en posición de poder engrasar"/>
        <filter val="INSPECCIÓN  EN LAVADORA DE BOTELLAS"/>
        <filter val="INSPECCION A BRAZO DE DESPLAZAMIENTO HORIZONTAL DE CARRO"/>
        <filter val="Inspeccion cilindros elevadores 26, 29 y 47"/>
        <filter val="Inspección de atascos de rodillos mesa de descarga"/>
        <filter val="Inspeccion de balancines y transportadores tramo de EBI - PTZ"/>
        <filter val="Inspeccion de balancines y transportadores tramo despalet botella - EBI"/>
        <filter val="Inspección de cabezal de tulipas, verificar estado de vastagos, tornillos huecos y gomas"/>
        <filter val="Inspección de cadena, sprockets, guías y balancines en tramo I y J"/>
        <filter val="Inspeccion de conectores de sensores de maquina"/>
        <filter val="INSPECCION DE EJE DE FRENO DE CAJAS"/>
        <filter val="INSPECCION DE ESTADO DE CHUMACERAS UC211 Y REHABILITACION DE SISTEMA DE LUBRICACION"/>
        <filter val="INSPECCION DE ESTADO DE GRASA Y PUNTOS DE LUBRICACION"/>
        <filter val="INSPECCION DE ESTADO DE GUIAS, RODILLOS Y ESLABONES DE CADENA PORTA CANASTOS"/>
        <filter val="Inspección de estado de unidad de mantenimiento"/>
        <filter val="Inspección de guía L Clip transporte de entrada a carrusel de llenado"/>
        <filter val="Inspección de guías de deslizamiento horizontal"/>
        <filter val="INSPECCION DE JB DE DESEMPACADORA"/>
        <filter val="INSPECCION DE JB DE EMPACADORA"/>
        <filter val="Inspeccion de mallas extractoras de etiqueta"/>
        <filter val="Inspección de motor B23"/>
        <filter val="Inspección de nivel de aceite de motorreductores tramo A, C y D"/>
        <filter val="Inspección de nivel de aceite de motorreductores tramo F"/>
        <filter val="Inspección de nivel de aceite en cajas reductoras principales de máquina"/>
        <filter val="Inspección de pistones 26, 46, 29"/>
        <filter val="Inspección de presión entre palpador y cilindro de goma"/>
        <filter val="INSPECCION DE RODAMIENTOS DE 46 RODILLOS (2 MIN POR RODILLO)"/>
        <filter val="INSPECCION DE RODAMIENTOS DE 80 RODILLOS (2 MIN POR RODILLO)"/>
        <filter val="Inspeccion de ruta electrica detenido de extractor de etiqueta 1"/>
        <filter val="Inspeccion de ruta electrica detenido de extractor de etiqueta 2"/>
        <filter val="Inspeccion de ruta electrica detenido de extractor de etiqueta 3"/>
        <filter val="Inspeccion de ruta electrica detenido de extractor de etiqueta 4"/>
        <filter val="Inspeccion de ruta electrica parado de panel de fuerza y control"/>
        <filter val="Inspeccion de ruta electrica parado de sistema de carga y descarga"/>
        <filter val="Inspección de sistema de lubricación automatico"/>
        <filter val="Inspección de sprockets y re apriete de guías en tramo H"/>
        <filter val="Inspección de sprockets y re apriete de guías en tramo I"/>
        <filter val="Inspección de tuberías de lluvias"/>
        <filter val="Inspeccion de tuberías, empaques de juntas y duchas de tanque #5"/>
        <filter val="INSPECCION DE TURBINA EXTRACTOR DE GASES 1"/>
        <filter val="Inspeccion de unidades de mantenimiento de aire, verificacion de nivel de aceite"/>
        <filter val="Inspección de unidades de mantenimiento de aire, verificación de nivel de aceite"/>
        <filter val="INSPECCION INTERNA DE GUIAS DE CADENA PORTA CANASTOS"/>
        <filter val="Inspección malla superior e inferior"/>
        <filter val="INSPECCION NEUMATICA DE CORONADOR"/>
        <filter val="INSPECCION POR FUGA DE AIRE EN COMPONENTES NEUMATICOS"/>
        <filter val="Inspeccion por fugas dentro de Lauter"/>
        <filter val="INSPECCION SISTEMA NEUMATICO"/>
        <filter val="INSPECCION SISTEMA NEUMATICO CABEZAL"/>
        <filter val="INSPECCION SISTEMA NEUMATICO EMPUJADOR DE CAJAS Y TOPES"/>
        <filter val="INSPECCION Y LIMPIEZA DE GUIAS Y CADENAS DE TRANSPORTE"/>
        <filter val="Inspeccionar correas de transporte"/>
        <filter val="Inspeccionar el nivel de lubricante del engrasador"/>
        <filter val="Inspeccionar válvula de vaciado de tanque de soda"/>
        <filter val="Inspeccionar y re apretar prisioneros de catarinas de carro de elevación"/>
        <filter val="INSTALACION DE 3 CANASTOS"/>
        <filter val="INSTALACION DE ACCESORIOS PARA COLOCAR PRESOSTATO"/>
        <filter val="Instalación de aclimatador nuevo en panel de potencia"/>
        <filter val="INSTALACION DE ALARMA SONORA PARA VOLTEADOR DE CAJAS"/>
        <filter val="Instalación de balancines en tramo de bajada de paster a entrada de ETQ"/>
        <filter val="Instalación de conexión Tee en toma de agua"/>
        <filter val="Instalación de filtro regulador neumatico para peine"/>
        <filter val="Instalación de flauta sopladora de collarín de Regia (Preguntar a Mario Escalante)"/>
        <filter val="INSTALACION DE LLAVE DE PASO PARA FILTRO TANQUE 3"/>
        <filter val="Instalación de muebles para taller"/>
        <filter val="Instalación de relé bobina 230VAC para electrovalvula"/>
        <filter val="Instalacion de seguro en motor salida de lavadora a inspector"/>
        <filter val="INSTALACION DE SENSOR PARA VIDEOJET EN GUARDA DE CARRUSEL"/>
        <filter val="Instalación de sensores de puerta AS-i"/>
        <filter val="Instalación de válvulas de asiento inclinado de 1-1/2&quot;"/>
        <filter val="INSTALACION DE VARILLAS PARA AJUSTAR BARANDAS LATERALES DE TRANSPORTE"/>
        <filter val="Instalación de visores de nivel de tanques"/>
        <filter val="Instalar tapadera de motor de bomba de lavadora de cajas"/>
        <filter val="Instalar valvula de corte a filtro de tanque 3"/>
        <filter val="LIMPIEZA AJUSTE E INSPECCION DE SENSORES DE MAQUINA Y REFLECTIVOS"/>
        <filter val="LIMPIEZA DE ALETAS DE MOTOR DE BOMBA DE VACÍO"/>
        <filter val="Limpieza de almohadillas, cilindros de transferencia y tulipas de carrusel"/>
        <filter val="LIMPIEZA DE BANDEJAS DE LUBRICACION DESDE ENCA HASTA PALET"/>
        <filter val="LIMPIEZA DE BANDEJAS DE LUBRICACION DESDE LAVCAJ HASTA ENCA"/>
        <filter val="LIMPIEZA DE BANDEJAS DE LUBRICACION DESDE SALIDA DPL CAJ A DESENC"/>
        <filter val="LIMPIEZA DE BANDEJAS DE LUBRICACION DESDE VOLTEADOR DE CAJAS HASTA LAVCAJ"/>
        <filter val="Limpieza de cadenas tramo H"/>
        <filter val="LIMPIEZA DE CADENAS Y BANDEJAS TRAMO SALIDA DESENCA  A VOLTEADOR DE CAJAS"/>
        <filter val="LIMPIEZA DE CADENAS Y BANDEJAS TRAMO SALIDA ENCA A PALET"/>
        <filter val="LIMPIEZA DE CADENAS Y BANDEJAS TRAMO SALIDA VOLTEADOR DE CAJAS A LAVCAJ"/>
        <filter val="LIMPIEZA DE CANALETA ELECTRICA TRAMO DESENCA A LAVCAJ"/>
        <filter val="LIMPIEZA DE CANALETA ELECTRICA TRAMO ETQ A ENCA"/>
        <filter val="LIMPIEZA DE CANALETA ELECTRICA TRAMO PAST A ETQ"/>
        <filter val="Limpieza de canaletas de todo el transporte y de drenajes desde despalet 150 hasta lavadora de botellas"/>
        <filter val="Limpieza de canaletas superior en lavadora de botellas"/>
        <filter val="LIMPIEZA DE CHORROS DE LIMPIEZA DE CAJAS"/>
        <filter val="LIMPIEZA DE CILINDROS ELEVADORES 44- 55"/>
        <filter val="LIMPIEZA DE CONECTORES DE SENSORES DE BALANCINES"/>
        <filter val="LIMPIEZA DE CONECTORES DE SENSORES DE ETIQUETADORA"/>
        <filter val="LIMPIEZA DE CONECTORES DE SENSORES DESENCAJONADORA"/>
        <filter val="LIMPIEZA DE CONECTORES DE SENSORES DPL BOT"/>
        <filter val="LIMPIEZA DE CONECTORES DE SENSORES DPL CAJA"/>
        <filter val="LIMPIEZA DE CONECTORES DE SENSORES ENCAJONADORA"/>
        <filter val="LIMPIEZA DE CONECTORES DE SENSORES LAVADORA DE BOTELLAS"/>
        <filter val="LIMPIEZA DE CONECTORES DE SENSORES PLT"/>
        <filter val="Limpieza de exceso de grasa en cumaceras"/>
        <filter val="LIMPIEZA DE GRASA DEBAJO DE LLENADORA #57"/>
        <filter val="LIMPIEZA DE INYECTORES/CHORROS DE TUBERIA TQ 2"/>
        <filter val="Limpieza de JETS de lavado"/>
        <filter val="LIMPIEZA DE MOTORES DE ENTRADA Y SALIDA DE MAQUINA"/>
        <filter val="LIMPIEZA DE PANEL ELECTRICO Y RE APRETE DE CONEXIONES"/>
        <filter val="Limpieza de paneles en mezzanine"/>
        <filter val="LIMPIEZA DE SISTEMA DE ENFRIAMIENTO DE PANELES ELECTRICOS"/>
        <filter val="LIMPIEZA DE TANQUE #2"/>
        <filter val="LIMPIEZA DE TANQUE #3"/>
        <filter val="LIMPIEZA DE TANQUE 3 DE SODA"/>
        <filter val="LIMPIEZA DE TODOS LOS A/C DE PANELES ELECTRICOS"/>
        <filter val="Limpieza de tolva y carrilera de corona"/>
        <filter val="Limpieza de tramo C"/>
        <filter val="Limpieza de tramo D"/>
        <filter val="Limpieza de tramo F"/>
        <filter val="Limpieza de tramo H"/>
        <filter val="Limpieza de tramo I"/>
        <filter val="LIMPIEZA DE TRANSPORTE DE SALIDA DE ETIQUETADORA HASTA ENCAJONADORA"/>
        <filter val="Limpieza de transporte salida de PAST a SECADOR"/>
        <filter val="LIMPIEZA DE TULIPAS, DE PALPADORES, DE CILINDRO DE TRANSFERENCIA Y ESPONJAS"/>
        <filter val="Limpieza de vidrios protectores, espejos de reflexión y poleas de correa"/>
        <filter val="LIMPIEZA E INSPECCION DE CADENAS, SPROCKETS Y MOTORES DE TRANSPORTE"/>
        <filter val="LIMPIEZA E INSPECCION DE CONECTORES DE FOTOCELDAS"/>
        <filter val="LIMPIEZA E INSPECCION DE CONECTORES DE SENSORES DE BALANCINES"/>
        <filter val="LIMPIEZA E INSPECCION DE CONECTORES DE SENSORES DE EQUIPO"/>
        <filter val="LIMPIEZA E INSPECCION DE CONECTORES DE SENSORES Y FOTOCELDAS"/>
        <filter val="LIMPIEZA E INSPECCION DE SENSORES DE NIVEL DE TANQUE 1 Y 2"/>
        <filter val="LIMPIEZA E INSPECCION DE SENSORES DE NIVEL DE TANQUES DE CALENTAMIENTO"/>
        <filter val="LIMPIEZA E INSPECCION DE SENSORES DE TEMPERATURA"/>
        <filter val="LIMPIEZA E INSPECCION DE SENSORES TRP TARIMAS - #211"/>
        <filter val="Limpieza e inspección de sensores y conectores"/>
        <filter val="LIMPIEZA E INSPECCION DE SENSORES Y CONTECTORES"/>
        <filter val="LIMPIEZA E INSPECCION DE SISTEMA DE ACCIONAMIENTO PRINCIPAL #57"/>
        <filter val="Limpieza externa de bombas #1, #2 y #3 de tanques de soda"/>
        <filter val="Limpieza general de máquina"/>
        <filter val="Limpieza interna de barras de soda tanque #3"/>
        <filter val="Limpieza interna de lavadora"/>
        <filter val="LIMPIEZA INTERNA DE MAQUINA Y TANQUES"/>
        <filter val="Limpieza interna de tanque #2"/>
        <filter val="Limpieza interna de tanque #3"/>
        <filter val="LIMPIEZA INTERNA DE TANQUE 1"/>
        <filter val="LIMPIEZA INTERNA DE TANQUE 2"/>
        <filter val="LIMPIEZA INTERNA DE TANQUES"/>
        <filter val="Limpieza profunda de máquina"/>
        <filter val="LIMPIEZA Y LUBRICACION CADENA DE RODILLO"/>
        <filter val="LIMPIEZA Y LUBRICACION CADENA DE RODILLO TRAP TARIMAS"/>
        <filter val="LIMPIEZA Y LUBRICACION CADENA DE TRACC. MESA DE DESCARG. RODILLOS"/>
        <filter val="Limpieza y lubricación de cadena de rodillos de transporte de tarimas"/>
        <filter val="LIMPIEZA Y LUBRICACION DE CADENA DE TRACCION PRINCIPAL DE MAQUINA"/>
        <filter val="LIMPIEZA Y LUBRICACION DE CADENA DOBLE DE MESA DE RODILLOS"/>
        <filter val="Limpieza y lubricación de guías de deslizamiento de rodillos seguidores de leva de cabezal"/>
        <filter val="LIMPIEZA Y LUBRICACIÓN DE RODILLOS TRANSP TARIMAS"/>
        <filter val="LIMPIEZA Y LUBRICACIÓN GUIAS DE SEGUIDOR LEVA CABEZAL"/>
        <filter val="LIMPIEZA Y LUBRICACION SISTEMA DE ACC"/>
        <filter val="LIMPIEZA, AJUSTE Y COMPROBACION DE FUNCIONAMIENTO DE SENSORES Y REFLECTIVOS DE MAQUINA"/>
        <filter val="LIMPIEZA, AJUSTE Y LUBRICACIÓN DE DESPALETIZADORA DE BOTELLAS"/>
        <filter val="Limpieza, inspeccion y engrase de sistema de traccion mesa de carga de caja"/>
        <filter val="Limpieza, lubricacion y re aprete de cadenas de rodillos en transportes de tarimas"/>
        <filter val="LIMPIEZA, REAPRETE Y COMPROBACION DE FUNCIONAMIENTO DE SENSORES Y REFLECTIVOS DE MAQUINA"/>
        <filter val="Lubricacion de distribuidor, pistones elevadores, chumacera de transporte de entrada y salida"/>
        <filter val="Lubricación de eje excéntrico de tornillo sinfín"/>
        <filter val="Lubricación de eje motriz de tornillo sinfin de entrada"/>
        <filter val="Lubricación de placa central de boquillas de engrase"/>
        <filter val="LUBRICACION DE ROTULA DE CILINDROS NEUMATICOS"/>
        <filter val="LUBRICACION MANUAL CENTRALIZADA"/>
        <filter val="LUBRICACION MANUAL DE COMPONENTES Y CAMBIO DE TUBBING"/>
        <filter val="Lubricación quincenal"/>
        <filter val="Lubricacion semanal de llenadora"/>
        <filter val="Lubricación y reaprete de guías y rodillos seguidores de levas de cabezal"/>
        <filter val="LUBRICAR EL EJE MOTRIZ DEL TORNILLO SINFIN DE LA ZONA DE ENTRADA"/>
        <filter val="LUBRICAR HUSILLO DEL SISTEMA DE AJUSTE DE ALTURA"/>
        <filter val="LUBRICAR LOS RODAMIENTOS DE LOS PORTAENVASES DE LA MESA PORTAENVASE"/>
        <filter val="MANTENIMIENTO A CANASTOS TORCIDOS"/>
        <filter val="Mantenimiento a cilindros elevadores de 33 - 43"/>
        <filter val="MANTENIMIENTO A CILINDROS ELEVADORES DEL 14 AL 24"/>
        <filter val="MANTENIMIENTO A CILINDROS ELEVADORES DEL 8 AL 13 Y DEL 33 AL 35"/>
        <filter val="Mantenimiento a guias laterales de barandas tramo salida PAST a SECADOR"/>
        <filter val="Mantenimiento a motor B11"/>
        <filter val="Mantenimiento a motor B12"/>
        <filter val="MANTENIMIENTO A MOTOR CEPILLO #2"/>
        <filter val="Mantenimiento a rodamientos y valvula rotativa"/>
        <filter val="Mantenimiento a rodillos tensores de cadenas tramo H"/>
        <filter val="Mantenimiento a rodillos tensores de cadenas tramo salida de pasteurizador"/>
        <filter val="MANTENIMIENTO A RODILLOS TENSORES Y RUEDAS DE RETORNO TRAMO ENCA A PALET"/>
        <filter val="MANTENIMIENTO A RODILLOS TENSORES Y RUEDAS DE RETORNO TRAMO LAVCAJ A ENCA"/>
        <filter val="MANTENIMIENTO A RUEDAS DE RETORNO Y RODILLOS TENSORES DE SALIDA ENCA A PALET"/>
        <filter val="Mantenimiento cilindros elevadores 1-5"/>
        <filter val="Mantenimiento cilindros elevadores 25 al 30"/>
        <filter val="MANTENIMIENTO Y CAMBIO DE COMPONENTES A RODILLOS MESA DE DESCARGA"/>
        <filter val="MANTENIMIENTO Y MONTAJE A 4 RODILLOS DE MESA DE RODILLOS DPL CAJ"/>
        <filter val="Modificación de altura de guia blanca en transporte de tarima"/>
        <filter val="Modificacion de baranda lateral de mesa giratoria de cajas"/>
        <filter val="MODIFICACION DE BASE DE SENSOR DE VIDEOJET"/>
        <filter val="Modificación de guía de entrada en pasteurizador por botellas caídas"/>
        <filter val="Modificación de posición de brazo para sensor de posición vertical de cabezal de paletizadora"/>
        <filter val="Modificacion de soportes de sensor en centrador"/>
        <filter val="Modificación de topes de regia 750ml"/>
        <filter val="Modificar sistema de ajuste de tensión de fajas de traslación del cabezal"/>
        <filter val="MONTAJE DE BOMBA DE PREENJUAGUE"/>
        <filter val="Montaje de enfiladores nuevos San Martin"/>
        <filter val="MONTAJE DE MOTOR B10"/>
        <filter val="MONTAJE DE MOTOR BYPASS"/>
        <filter val="MONTAJE DE MOTOR DE CEPILLO TK #2"/>
        <filter val="MONTAJE DE MOTORREDUCTOR DE ELEVACION"/>
        <filter val="Montaje de nuevo soporte para sensor de Videojet"/>
        <filter val="MONTAJE DE PIÑONES Y CADENAS DE ENFILADOR"/>
        <filter val="Montaje de pulmón de aire para etiquetadora"/>
        <filter val="MONTAJE DE RODILLOS DE MESA DE CARGA DE CAJA"/>
        <filter val="Mover escalera 30 cm adelante"/>
        <filter val="Orden de cables dentro de JB paletizadora"/>
        <filter val="Orden y limpieza de panel de control de transporte"/>
        <filter val="Orden y limpieza de panel de mando en etiquetadora"/>
        <filter val="ORDENAMIENTO DE CABLE DE PISTON NEUMATICO MESA DE CARGA"/>
        <filter val="ORDENAMIENTO DE CABLE EN PANEL DE TAPAS - #193"/>
        <filter val="ORDENAMIENTO DE CABLEADO DE CONEXION VIDEOJET ETQ"/>
        <filter val="Ordenamiento de cables dentro de JB despaletizadora de cajas"/>
        <filter val="Overhaul a pistones elevadores estacion de llenado 1 - 5"/>
        <filter val="Perforar agujeros chinos en soporte de motorreductor de traslación de cabezal hacia mesa de descarga"/>
        <filter val="prueba 10"/>
        <filter val="prueba 11"/>
        <filter val="Prueba 2"/>
        <filter val="Prueba 3"/>
        <filter val="Prueba 4"/>
        <filter val="Prueba 5"/>
        <filter val="Prueba 6"/>
        <filter val="Prueba 7"/>
        <filter val="Prueba 8"/>
        <filter val="prueba 9"/>
        <filter val="Prueba1"/>
        <filter val="QUITAR TOPE CERCA DE PLATAFORMA DE BARRAS DE ENJUAGUE FINAL #202"/>
        <filter val="Re aprete de pernos de balancines y enderezamiento transporte de salida pasteurizador"/>
        <filter val="RE APRETE DE PRISIONEROS DE CABEZAL DE ELEVACION"/>
        <filter val="Re apriete de pernos de cabezal #2"/>
        <filter val="Re apriete de pernos de cabezal de tulipas"/>
        <filter val="RE CONEXION DE MOTOR DE ELEVACION Y ENCODER"/>
        <filter val="RE ORDENAMIENTO DE PANEL DE CONTROL SOBRE LAVADORA"/>
        <filter val="REALIZAR CASTIGADERA A EJE DE MOTOR C14"/>
        <filter val="REALIZAR CASTIGADERA A EJE DE MOTORES DE TRANSPORTE"/>
        <filter val="REALIZAR CASTIGADERA A EJE DE MOTORES DE TRANSPORTE C15 - C20"/>
        <filter val="REALIZAR CASTIGADERA A EJE DE MOTORREDUCTOR B22"/>
        <filter val="REALIZAR CASTIGADERA A EJE DE MOTORREDUCTOR B23"/>
        <filter val="REALIZAR CASTIGADERA A EJE MOTORREDUCTOR C06"/>
        <filter val="REALIZAR CASTIGADERA A EJE MOTORREDUCTOR C13"/>
        <filter val="REALIZAR CASTIGADERA A EJES DE MOTORREDUCTOR C01 AL C05"/>
        <filter val="REALIZAR CASTIGADERA A PIÑON DE ELEVACION DE DESENCAJONADORA"/>
        <filter val="REALIZAR CASTIGADERA A PIÑON DE ELEVACION DE ENCAJONADORA"/>
        <filter val="REALIZAR CASTIGADERA A PIÑON DE ELEVACION DE PALET"/>
        <filter val="REALIZAR CASTIGADERA A SPROCKETS DE TRAMO SALIDA LLEN A PAST"/>
        <filter val="REALIZAR CASTIGADERA DEL C01 AL C05"/>
        <filter val="REALIZAR CONEXION FORMAL DE ETHERNET PARA EWON"/>
        <filter val="Realizar modificación en tolva para que la basura se recepcione correctamente en el basurero"/>
        <filter val="Realizar pruebas con enguiador de botellas en mesa de entrada"/>
        <filter val="Rebaje de borde de placa de protección de caja reductora de tornillo sinfin"/>
        <filter val="RECORTE DE ESLABONES MALLA #2"/>
        <filter val="Rectificar, colocar tapas y limpiar canaletas de línea vidrio"/>
        <filter val="Reemplazo de componentes de cilindros elevadores 1-5"/>
        <filter val="Reemplazo de eslabones de cadena principal"/>
        <filter val="REFORZAMIENTO DE GUIAS CURVAS DE ENTRADA"/>
        <filter val="REFUERZO DE GUIAS CURVAS METALICAS MESA DE ENTRADA"/>
        <filter val="REPARACION DE BARRA DE SODA"/>
        <filter val="REPARACION DE CANALETA ELECTRICA #209"/>
        <filter val="Reparación de canaletas electricas tramo debajo mezanine"/>
        <filter val="REPARACION DE DISPLAY DE BASCULA"/>
        <filter val="REPARACION DE FUGA DE BOMBA TANQUE #3"/>
        <filter val="Reparación de fuga de en bomba tk 2"/>
        <filter val="REPARACION DE FUGA DE PRESOSTATO DANFOSS #178"/>
        <filter val="Reparación de malla superior"/>
        <filter val="REPARACION DE PLACA MUERTA TRAMO LLEN A PAST"/>
        <filter val="REPARAR FUGA DE ACEITE EN MOTOR B44 #190"/>
        <filter val="REPARAR FUGA DE ACEITE EN MOTOR C18 #173"/>
        <filter val="Revisar tramo de rechazo por qué no se puede ajustar"/>
        <filter val="Revisión de alimentacion y estado de electrovalvula de paso de agua de pinzas de rinser"/>
        <filter val="Revisión de balancines en tramo H e I"/>
        <filter val="REVISION DE BOLSA DE CADENA DE TRACCION PRINCIPAL"/>
        <filter val="REVISION DE CABLE POR CORTOCIRCUITOS EN BORNERA K2641 PANEL DE FUERZA Y MANDO"/>
        <filter val="REVISION DE CILINDROS DE ELEVACION 55, 9 Y 38"/>
        <filter val="Revisión de conectores de sensores y borneras en paneles Electricistas"/>
        <filter val="REVISION DE CONECTORES Y LIMPIEZA DE FOTOCELDAS"/>
        <filter val="REVISION DE CONECTORES, SONDAS Y CONEXIONES DE SENSORES DE NIVEL"/>
        <filter val="REVISION DE CONECTORES, SONDAS Y CONEXIONES DE SENSORES TEMP"/>
        <filter val="REVISION DE ESTADO DE CILINDROS NEUMATICOS, ELECTROVALVULAS Y MANGUERAS"/>
        <filter val="REVISION DE ESTADO DE CONECTORES DE SENSORES DE EQUIPO"/>
        <filter val="REVISION DE FOTOCELDAS Y REFLECTIVOS"/>
        <filter val="Revisión de freno de motor elevador de carrusel superior de coronador"/>
        <filter val="Revisión de fugas en cabezales de tulipas Regia 750ml"/>
        <filter val="Revisión de fugas en cabezales de tulipas Suprema 330ml"/>
        <filter val="REVISION DE FUGAS EN TULIPAS DE CABEZAL"/>
        <filter val="Revisión de grasa en baleros principales de malla"/>
        <filter val="REVISION DE GRASA EN CUNAS DE R1 AL R5"/>
        <filter val="Revisión de guia L Clip en transporte de entrada a carrusel de llenado"/>
        <filter val="Revisión de JOG de seguridad y sensor de enclavamiento de compuertas"/>
        <filter val="REVISIÓN DE NIVEL DE ACEITE DE MOTOR DE CORTINA Y TRASLACION CABEZAL"/>
        <filter val="REVISIÓN DE NIVEL DE ACEITE DE MOTOR DE ELEVACION"/>
        <filter val="REVISIÓN DE NIVEL DE ACEITE DE MOTOR DE TRASLACION HORIZONTAL"/>
        <filter val="REVISION DE NIVEL DE ACEITE DE MOTORREDUCTOR DE CABEZAL DE ELEVACION"/>
        <filter val="REVISION DE NIVEL DE ACEITE Y ESTADO DE R1 A R5"/>
        <filter val="Revision de presión entre palpador y cilindro de goma"/>
        <filter val="Revisión de ruedas de retorno en transporte de motor B25 y B26"/>
        <filter val="Revisión de sensor de nivel de tanques de lavadora de botella"/>
        <filter val="Revisión de sensores de temperatura en tanques de calentamiento"/>
        <filter val="Revisión de Sprocket motor #2"/>
        <filter val="REVISION DE SPROCKETS DE MOTOR B23 TRAMO LLEN A PAST"/>
        <filter val="Revisión de válvulas mariposa de drenos LVB"/>
        <filter val="Revisión freno motor cabezal coronador"/>
        <filter val="REVISION NIVEL DE ACEITE EN MOTOR UÑAS DE ENTRADA Y EMPUJADOR"/>
        <filter val="REVISION Y AJUSTE DE FRENO MOTORREDUCTOR DE ELEVACION"/>
        <filter val="REVISION Y CAMBIO DE ACEITE TURBINA EXTRACTOR #1 AL #3"/>
        <filter val="REVISION Y CAMBIO DE EMPAQUE DE CAJA R3"/>
        <filter val="REVISION Y CAMBIO DE EMPAQUE DE CAJA R4"/>
        <filter val="REVISION Y CIERRE DE FUGAS EN TULIPAS DE CABEZAL"/>
        <filter val="REVISION Y LIMPIEZA DE CAJA DE CONEXION DE SERVOS R1 AL R5"/>
        <filter val="REVISION y LIMPIEZA DE RECTIFICADOR"/>
        <filter val="REVISION Y LIMPIEZA DE SENSORES DE BALANCINES Y CONECTORES M12"/>
        <filter val="REVISION Y LIMPIEZA DE SENSORES FOTOELECTRICOS Y CONECTORES"/>
        <filter val="ROTULACION DE CABLEADO SEGUN BOBINAS DE MOTORES ELECTRICOS"/>
        <filter val="SINCRONIZACION CON TORNILLO SINFIN Y ESTRELLA DE ENTRADA"/>
        <filter val="Soldadura de tubo para tecle"/>
        <filter val="Soldar eslabones sueltos en malla de cama superior"/>
        <filter val="Soldar plataforma de tanques de enjuague final"/>
        <filter val="TAGGEADO DE CABLEADO ELECTRICO EN PANELES"/>
        <filter val="TOMA DE BACKUPS DE VARIADORES DE FRECUENCIA LINEA ENVASADO"/>
        <filter val="VERFICIACION DE PIÑONES EN MESA DE ENTRADA TRANSPORTE"/>
        <filter val="VERIFICACION DE ALINEAMIENTO DE CHORROS DE ENJUAGUE TK1, TK2, TK3, PREENJUAGUE Y ENJUAGUE FINAL"/>
        <filter val="VERIFICACION DE DESGASTE BANDA DE GOMA"/>
        <filter val="VERIFICACION DE ESTADO DE CORTINAS DE GOMA"/>
        <filter val="VERIFICACION DE NIVEL DE ACEITE MOTORREDUCTOR ELEVACION"/>
        <filter val="VERIFICACION DE POLEAS DE RETORNO EN MESA DE ENTRADA TRANSPORTE"/>
        <filter val="Verificación de tags de motor con CCM"/>
        <filter val="VERIFICACION Y REPARACION DE POLEAS DE RETORNO EN MESA DE ENTRADA TRANSPORTE"/>
        <filter val="VERIFICAR DESGASTE, FIJACIONES Y REPARAR DEDOS DE CARGA"/>
        <filter val="VERIFICAR DESGASTE,FIJACIONES Y REPARAR GUIAS CURVAS DE ENTRADA"/>
        <filter val="VERIFICAR ESTADO DE LLUVIAS DE MALLA"/>
        <filter val="VERIFICAR JUEGO EN ROTULA CILINDRO FRENO DE CAJAS"/>
      </filters>
    </filterColumn>
    <filterColumn colId="2">
      <filters>
        <filter val="Correctivo"/>
        <filter val="Correctivo - ID157"/>
        <filter val="Correctivo - ID158"/>
        <filter val="Correctivo - ID163"/>
        <filter val="Mejora"/>
        <filter val="N/A"/>
        <filter val="Preventivo"/>
      </filters>
    </filterColumn>
    <filterColumn colId="3">
      <filters>
        <filter val="Automatización"/>
        <filter val="Electricista"/>
        <filter val="Electrico"/>
        <filter val="Eléctrico"/>
        <filter val="Mecanico"/>
        <filter val="Mecánico"/>
        <filter val="Operación"/>
        <filter val="Operador"/>
        <filter val="SERVICIO EXT"/>
        <filter val="TALLER EXT"/>
      </filters>
    </filterColumn>
    <filterColumn colId="4">
      <filters>
        <filter val="1"/>
        <filter val="2"/>
        <filter val="6"/>
        <filter val="ANDREA C."/>
        <filter val="Andrea Castro"/>
        <filter val="Andrea Cruz"/>
        <filter val="Armando Garcia"/>
        <filter val="Armando García"/>
        <filter val="Aux 1 y Aux 2"/>
        <filter val="Byron Ramos"/>
        <filter val="Cárcamo"/>
        <filter val="Carlos Yuvini"/>
        <filter val="CARLOS YUVINI / DANIEL MARROQUIN"/>
        <filter val="Daniel Marroquin"/>
        <filter val="Daniel Monterrosa"/>
        <filter val="Daniel Monterrosa, operador"/>
        <filter val="Edwin Carcamo"/>
        <filter val="Elias Shico"/>
        <filter val="Emilio / Jeremías"/>
        <filter val="EMILIO S."/>
        <filter val="EMILIO S. / NESTOR R."/>
        <filter val="Emilio Siguenza"/>
        <filter val="Erick Lopez"/>
        <filter val="Erick Luna"/>
        <filter val="FERNANDO C."/>
        <filter val="FERNANDO C. / RENE R."/>
        <filter val="Fernando Chavez"/>
        <filter val="FERNANDO CHÁVEZ"/>
        <filter val="Fernando Contreras"/>
        <filter val="Javier Cortez"/>
        <filter val="JEREMIAS M."/>
        <filter val="JEREMIAS M. / JULIO Q."/>
        <filter val="JEREMIAS MIRANDA"/>
        <filter val="Jeremías Miranda"/>
        <filter val="JEREMIAS MIRANDA / JULIO QUISQUI"/>
        <filter val="JULIO Q."/>
        <filter val="JULIO QUISQUI"/>
        <filter val="JULIO QUISQUI / EMILIO SIGUENZA"/>
        <filter val="Leonel"/>
        <filter val="Leonel Vasquez"/>
        <filter val="Luis Cornejo"/>
        <filter val="Luis Ortiz"/>
        <filter val="MELVIN O."/>
        <filter val="MELVIN O./EMILIO S."/>
        <filter val="Melvin Olivorio"/>
        <filter val="MELVIN OLIVORIO / DANIEL MARROQUIN"/>
        <filter val="Moises / Robin"/>
        <filter val="Moises Navas"/>
        <filter val="NESTOR R."/>
        <filter val="NESTOR R. / JEREMIAS M."/>
        <filter val="Nestor Rivera"/>
        <filter val="René"/>
        <filter val="RENE R."/>
        <filter val="RENE RODRIGUEZ"/>
        <filter val="René Rodriguez"/>
        <filter val="Robin Guardado"/>
        <filter val="RYSI"/>
        <filter val="Santos Pineda"/>
        <filter val="TRICOMBUS"/>
        <filter val="William Canizalez"/>
        <filter val="Yuvini"/>
      </filters>
    </filterColumn>
    <filterColumn colId="5">
      <filters>
        <filter val="1"/>
        <filter val="2"/>
        <filter val="3"/>
      </filters>
    </filterColumn>
    <filterColumn colId="6">
      <filters>
        <filter val="0,5"/>
        <filter val="0,75"/>
        <filter val="0,8"/>
        <filter val="1"/>
        <filter val="1,5"/>
        <filter val="11"/>
        <filter val="2"/>
        <filter val="2,5"/>
        <filter val="3"/>
        <filter val="3,3"/>
        <filter val="3,5"/>
        <filter val="3,8"/>
        <filter val="4"/>
        <filter val="4,5"/>
        <filter val="5"/>
        <filter val="6"/>
        <filter val="7"/>
        <filter val="7,3"/>
        <filter val="8"/>
        <filter val="8,5"/>
        <filter val="9"/>
      </filters>
    </filterColumn>
    <filterColumn colId="9">
      <filters>
        <filter val="0,50"/>
        <filter val="1,00"/>
        <filter val="1,30"/>
        <filter val="1,50"/>
        <filter val="11,00"/>
        <filter val="2,00"/>
        <filter val="3,00"/>
        <filter val="4,00"/>
        <filter val="5,00"/>
        <filter val="6,00"/>
        <filter val="7,50"/>
        <filter val="9,00"/>
        <dateGroupItem year="1900" dateTimeGrouping="year"/>
      </filters>
    </filterColumn>
    <filterColumn colId="10">
      <filters>
        <mc:AlternateContent xmlns:mc="http://schemas.openxmlformats.org/markup-compatibility/2006">
          <mc:Choice Requires="x14">
            <x14:filter val="Componentes en buen estado"/>
            <x14:filter val="FALTA REPARACION DE TULIPAS YA CON FUGAS SON VARIAS ES DE REVISAR Y CAMBIAR VARIAS CAMPANAS PORQUE FUGAN"/>
            <x14:filter val="FALTO QUITAR EL EXCESO DE GRASA POR FALTA DE WIPE, SE REALIZO LIMPIEZA EN LOS RODILLOS DE LA MESA Y SE LUBRICO"/>
            <x14:filter val="Hay que colocar un seguro omega en un eje y se aorovecho a limpiar housing de cada motor."/>
            <x14:filter val="LOS SENSORES MAGNETICOS DEL PISTON DEL LADO IZQUIERDO NO SE ESTAN UTILIZANDO, DEL CENTRADOR DE CAJAS"/>
            <x14:filter val="SE AISLARON MANOMETROS"/>
            <x14:filter val="SE CALIBRO FRENO DE MOTOR DE ELEVACION DE CABEZAL A 0.20MM"/>
            <x14:filter val="SE CAMBIARON RETENEDORES DE MOTOR"/>
            <x14:filter val="SE CAMBIO FRENO DE MOTOR DE ELEVACION CABEZAL A 0.2MM, SE CALIBRO FRENO DE MOTOR ELEVACION DE CENTRADOR A 0.20MM"/>
            <x14:filter val="SE CAMBIO RETENEDOR"/>
            <x14:filter val="SE CAMBIO SELLO MECANICO"/>
            <x14:filter val="SE CERRO ENFILADOR"/>
            <x14:filter val="SE COLOCÓ BOTONERA EN ENTRADA DE MAQUINA"/>
            <x14:filter val="SE CONECTO BOMBA Y SE PROBO SENTIDO DE GIRO"/>
            <x14:filter val="SE CONECTO MOTOR CON SU ENCODER Y QUEDA TRABAJANDO BIEN"/>
            <x14:filter val="Se creo la receta pero no se ajusto la inspección, es necesario etiquetar las botellas para ajustar la inspección"/>
            <x14:filter val="SE DESCONECTA SENSORES PARA REALIZAR LIMPIADO DE CONTACTOS"/>
            <x14:filter val="SE DESCONECTARON MOTORES PARA BAJARLOS CON TODO Y EJE PARA REALIZAR CASTIGADERA"/>
            <x14:filter val="SE DESMONTARON LOS INYECTORES Y SE LAVARON, SE VOLVIERON A MONTAR Y SE HIZO PRUEBA DE LA MAQUINA"/>
            <x14:filter val="SE ENDEREZÓ CANALETA ELECTRICA"/>
            <x14:filter val="SE ETIQUETO TRANSPORTE DE BOTELLAS PENDIENTE CAJAS"/>
            <x14:filter val="SE FABRICO PLACA MUERTA NUEVA Y SE PROBO"/>
            <x14:filter val="SE FABRICO PUNTA PARA REALIZAR LA INSPECCION DE LA ALINEACION"/>
            <x14:filter val="SE FABRICO UNA MORDAZA"/>
            <x14:filter val="SE HACE LUBRICACION DE TODOS LOS PUNTOS DE LUBRICACION Y SE HACE MANUALMENTE LA LUBRICACION DE LOS CABEZALES PORQUE LES LLEGA POCA GRASA._x000a_SE HACE CAMBIO DE MANGUERA DE 4MM POR DAÑARSE SE MONTO UNA DE 6MM PORQUE ES LO QUE HAY"/>
            <x14:filter val="SE INSPECCIONO Y NO SE ENCONTRO NINGUNA ANOMALIA Y SE REALIZARON PRUEBAS"/>
            <x14:filter val="SE INSTALO Y SE PROBO EL SENTIDO DE GIRO"/>
            <x14:filter val="SE LE CAMBIARON COMPONENTES A CILINDRO 38"/>
            <x14:filter val="SE LE CAMBIO EMPAQUE Y QUEDA SELLADO"/>
            <x14:filter val="SE LE REALIZARON CASTIGADERAS A MOTORES Y SE LIMPIARON CHUMACERAS Y GUARDAS DE CHUMACERAS"/>
            <x14:filter val="SE LIMPIARON SENSORES"/>
            <x14:filter val="SE LIMPIARON SENSORES Y CONECTORES"/>
            <x14:filter val="SE LIMPIARON Y SE ALINEARON CADA UNO DE ELLOS"/>
            <x14:filter val="SE LIMPIO EXTERNO E INTERNO"/>
            <x14:filter val="SE LIMPIO INTERNO Y EXTERNO"/>
            <x14:filter val="SE LOGRARON PONER TRES LAMINAS QUEDA UNA PENDIENTE"/>
            <x14:filter val="SE LUBRICARON Y SE INSPECCIONO QUE ESTUVIESE ALINEADO"/>
            <x14:filter val="SE MONTO BOMBA DE PREENJUAGUE"/>
            <x14:filter val="SE MONTO MOTOR"/>
            <x14:filter val="SE MONTO MOTORREDUCTOR DE PALETIZADORA"/>
            <x14:filter val="SE OBSERVARON GUIAS INTERNAS Y NO SE ENCONTRO NINGUNA ANORMALIDAD, UNICAMENTE SE ENCONTRO PUNTOS DE ROCE ENTRE TECHO DE TANQUE Y CANASTOS SE DESBASTO"/>
            <x14:filter val="SE PUSO RECTIFICADOR Y SE PROBO QUEDA TRABAJANDO BIEN"/>
            <x14:filter val="SE RE APRETARON ESPEJOS Y SENSORES QUE ESTABAN FLOJOS Y QUEDO SOLO UNO CON ESPEJO QUE LE HAN PUESTO LOS OPERADORES Y LOS DEMAS SE REALIZO CORRECTAMENTE"/>
            <x14:filter val="SE REALIZARON CASTIGADERAS EN TODOS LOS EJES DEL TRANSPORTE Y SE LIMPIARON CHUMACERAS"/>
            <x14:filter val="SE REALIZARON CASTIGADERAS EN TODOS LOS TRAMOS"/>
            <x14:filter val="SE REALIZARON LIMPIEZAS DE LOS CONECTORES"/>
            <x14:filter val="SE REALIZO AL C15 Y C16 QUEDAN PENDIENTES LOS DEMAS MOTORES"/>
            <x14:filter val="SE REALIZO CASTIGADERA"/>
            <x14:filter val="SE REALIZO CASTIGADERA PARA EJE"/>
            <x14:filter val="SE REALIZO CASTIGADERA PARA PIÑON DE ELEVACIÓN"/>
            <x14:filter val="SE REALIZO EL CAMBIO DE LA CHUMACERA Y SE AJUSTO EL SISTEMA DE ENGRASE AUTOMATICO, QUEDA FUNCIONANDO"/>
            <x14:filter val="SE REALIZO EL MONTAJE DE 3 RODILLOS PERO SE DESMONTARON 2 MÁS"/>
            <x14:filter val="SE REALIZO INSPECCION"/>
            <x14:filter val="SE REALIZO LIMPIEZA DE CONECTORES Y SENSORES CON LA AYUDA DEL OPERADOR"/>
            <x14:filter val="SE REALIZO LIMPIEZA DE SENSORES Y CONECTORES CON LA AYUDA DEL OPERADOR"/>
            <x14:filter val="SE REALIZO LIMPIEZA DE TANQUE SACANDO RESIDUO DE ETIQUETA, LIMPIEZA SE DEBE REALIZAR CONSTANTEMENTE CADA 15 DIAS ENVIANDO SODA A LA ISLA PARA EVITAR TAPAR LAS BOMBAS CON RESIDUOS DE ETIQUETAS Y SERVILLETAS AL IGUAL LIMPIEZA DE BARRAS Y DUCHAS HACERLA MENSUAL"/>
            <x14:filter val="SE REALIZO LIMPIEZA DEL AIRE ACONDICIONADO DEL PANEL DE LA LAVADORA DE BOTELLAS"/>
            <x14:filter val="SE REALIZO LIMPIEZA INTERNA Y EXTERNA"/>
            <x14:filter val="SE REALIZO LIMPIEZA Y LUBRICACION DE CILINDROS DE TRASNFERENCIA DE SUPREMA, TORNILLO SINFIN, HUSILLOS, SE VERIFICARON Y ENGRASARON LOS PUNTOS DE LUBRICACION CENTRALIZADA"/>
            <x14:filter val="SE REALIZO LUBRICACION Y CAMBIO DE COMPONENTES TUBBING"/>
            <x14:filter val="SE REALIZO MONTAJE DE MOTOR DE CEPILLO TK#2"/>
            <x14:filter val="SE REALIZO REVISIÓN Y SE CORRIGIERON LAS ANOMALIAS"/>
            <x14:filter val="SE REEMPLAZARON LOS CONECTORES"/>
            <x14:filter val="SE REVISARON CONECTORES"/>
            <x14:filter val="SE REVISARON CUNAS DE BALEROS POR TEMAS DE LUBRICACION ENCONTRADO EL BALERO #30 CON POCO LUBRICANTE Y CONTAMINACION DE SODA._x000a_SE BAJA CHUMACERA PARA HACER CAMBIO DE BALERO Y SE LE PONEN TAPONES A LA CHUMACERA POR QUE NO SE LE HABIAN COLOCADO._x000a_NO HABIA RETENEDOR 100X120X10 SE DEJO CON EL MISMO RETENEDOR Y SE HACE LUBRICACION MANUAL_x000a_"/>
            <x14:filter val="SE REVISARON LOS NIVELES DE ACEITE"/>
            <x14:filter val="Se revisó nivel de aceite y no se encuentran fugas y el aceite en buen estado"/>
            <x14:filter val="SE REVISO RECTIFICADOR Y SE ENCUENTRA BIEN._x000a_SE LIMPIO CON LIMPIADOR DE CONTACTOS"/>
            <x14:filter val="SE SOLDARON Y REFORZÓ GUIAS DE ENTRADA DE LAVADORA DE BOTELLAS"/>
            <x14:filter val="SE TERMINO ACTIVIDAD"/>
            <x14:filter val="SE TERMINO DE DAR MANTENIMIENTO A CILINDROS ELEVADORES"/>
            <x14:filter val="SE TRASLADO SODA A ISLA SE LAVO TANQUES Y SE ENJUAGARON SE BAJARON DUCHAS, SE DESARMARON PARA ASEGURAR ROCIADO PARA TENER BUENA PRESIÓN Y ASEGURAR BUEN LAVADO DE ENVASE"/>
            <x14:filter val="SOLO SE LUBRICO DISTRIBUIDOR DE GASES POR MANTENIMIENTO Y COLOCACION DE CILINDRO DE ELEVACIÓN"/>
            <x14:filter val="TANQUE 4 SE ENCONTRÓ UNA BOLSA QUE HAY QUE DISTRIBUIR, SE TENSÓ A 29CM LA DISTANCIA DE DOS TENSORES"/>
            <x14:filter val="TIENEN FUGAS POR VASTAGOS Y CAMPANAS DETERIORADOS"/>
          </mc:Choice>
          <mc:Fallback>
            <filter val="Componentes en buen estado"/>
            <filter val="FALTA REPARACION DE TULIPAS YA CON FUGAS SON VARIAS ES DE REVISAR Y CAMBIAR VARIAS CAMPANAS PORQUE FUGAN"/>
            <filter val="FALTO QUITAR EL EXCESO DE GRASA POR FALTA DE WIPE, SE REALIZO LIMPIEZA EN LOS RODILLOS DE LA MESA Y SE LUBRICO"/>
            <filter val="Hay que colocar un seguro omega en un eje y se aorovecho a limpiar housing de cada motor."/>
            <filter val="LOS SENSORES MAGNETICOS DEL PISTON DEL LADO IZQUIERDO NO SE ESTAN UTILIZANDO, DEL CENTRADOR DE CAJAS"/>
            <filter val="SE AISLARON MANOMETROS"/>
            <filter val="SE CALIBRO FRENO DE MOTOR DE ELEVACION DE CABEZAL A 0.20MM"/>
            <filter val="SE CAMBIARON RETENEDORES DE MOTOR"/>
            <filter val="SE CAMBIO FRENO DE MOTOR DE ELEVACION CABEZAL A 0.2MM, SE CALIBRO FRENO DE MOTOR ELEVACION DE CENTRADOR A 0.20MM"/>
            <filter val="SE CAMBIO RETENEDOR"/>
            <filter val="SE CAMBIO SELLO MECANICO"/>
            <filter val="SE CERRO ENFILADOR"/>
            <filter val="SE COLOCÓ BOTONERA EN ENTRADA DE MAQUINA"/>
            <filter val="SE CONECTO BOMBA Y SE PROBO SENTIDO DE GIRO"/>
            <filter val="SE CONECTO MOTOR CON SU ENCODER Y QUEDA TRABAJANDO BIEN"/>
            <filter val="Se creo la receta pero no se ajusto la inspección, es necesario etiquetar las botellas para ajustar la inspección"/>
            <filter val="SE DESCONECTA SENSORES PARA REALIZAR LIMPIADO DE CONTACTOS"/>
            <filter val="SE DESCONECTARON MOTORES PARA BAJARLOS CON TODO Y EJE PARA REALIZAR CASTIGADERA"/>
            <filter val="SE DESMONTARON LOS INYECTORES Y SE LAVARON, SE VOLVIERON A MONTAR Y SE HIZO PRUEBA DE LA MAQUINA"/>
            <filter val="SE ENDEREZÓ CANALETA ELECTRICA"/>
            <filter val="SE ETIQUETO TRANSPORTE DE BOTELLAS PENDIENTE CAJAS"/>
            <filter val="SE FABRICO PLACA MUERTA NUEVA Y SE PROBO"/>
            <filter val="SE FABRICO PUNTA PARA REALIZAR LA INSPECCION DE LA ALINEACION"/>
            <filter val="SE FABRICO UNA MORDAZA"/>
            <filter val="SE HACE LUBRICACION DE TODOS LOS PUNTOS DE LUBRICACION Y SE HACE MANUALMENTE LA LUBRICACION DE LOS CABEZALES PORQUE LES LLEGA POCA GRASA._x000a_SE HACE CAMBIO DE MANGUERA DE 4MM POR DAÑARSE SE MONTO UNA DE 6MM PORQUE ES LO QUE HAY"/>
            <filter val="SE INSPECCIONO Y NO SE ENCONTRO NINGUNA ANOMALIA Y SE REALIZARON PRUEBAS"/>
            <filter val="SE INSTALO Y SE PROBO EL SENTIDO DE GIRO"/>
            <filter val="SE LE CAMBIARON COMPONENTES A CILINDRO 38"/>
            <filter val="SE LE CAMBIO EMPAQUE Y QUEDA SELLADO"/>
            <filter val="SE LE REALIZARON CASTIGADERAS A MOTORES Y SE LIMPIARON CHUMACERAS Y GUARDAS DE CHUMACERAS"/>
            <filter val="SE LIMPIARON SENSORES"/>
            <filter val="SE LIMPIARON SENSORES Y CONECTORES"/>
            <filter val="SE LIMPIARON Y SE ALINEARON CADA UNO DE ELLOS"/>
            <filter val="SE LIMPIO EXTERNO E INTERNO"/>
            <filter val="SE LIMPIO INTERNO Y EXTERNO"/>
            <filter val="SE LOGRARON PONER TRES LAMINAS QUEDA UNA PENDIENTE"/>
            <filter val="SE LUBRICARON Y SE INSPECCIONO QUE ESTUVIESE ALINEADO"/>
            <filter val="SE MONTO BOMBA DE PREENJUAGUE"/>
            <filter val="SE MONTO MOTOR"/>
            <filter val="SE MONTO MOTORREDUCTOR DE PALETIZADORA"/>
            <filter val="SE OBSERVARON GUIAS INTERNAS Y NO SE ENCONTRO NINGUNA ANORMALIDAD, UNICAMENTE SE ENCONTRO PUNTOS DE ROCE ENTRE TECHO DE TANQUE Y CANASTOS SE DESBASTO"/>
            <filter val="SE PUSO RECTIFICADOR Y SE PROBO QUEDA TRABAJANDO BIEN"/>
            <filter val="SE RE APRETARON ESPEJOS Y SENSORES QUE ESTABAN FLOJOS Y QUEDO SOLO UNO CON ESPEJO QUE LE HAN PUESTO LOS OPERADORES Y LOS DEMAS SE REALIZO CORRECTAMENTE"/>
            <filter val="SE REALIZARON CASTIGADERAS EN TODOS LOS EJES DEL TRANSPORTE Y SE LIMPIARON CHUMACERAS"/>
            <filter val="SE REALIZARON CASTIGADERAS EN TODOS LOS TRAMOS"/>
            <filter val="SE REALIZARON LIMPIEZAS DE LOS CONECTORES"/>
            <filter val="SE REALIZO AL C15 Y C16 QUEDAN PENDIENTES LOS DEMAS MOTORES"/>
            <filter val="SE REALIZO CASTIGADERA"/>
            <filter val="SE REALIZO CASTIGADERA PARA EJE"/>
            <filter val="SE REALIZO CASTIGADERA PARA PIÑON DE ELEVACIÓN"/>
            <filter val="SE REALIZO EL CAMBIO DE LA CHUMACERA Y SE AJUSTO EL SISTEMA DE ENGRASE AUTOMATICO, QUEDA FUNCIONANDO"/>
            <filter val="SE REALIZO EL MONTAJE DE 3 RODILLOS PERO SE DESMONTARON 2 MÁS"/>
            <filter val="SE REALIZO INSPECCION"/>
            <filter val="SE REALIZO LIMPIEZA DE CONECTORES Y SENSORES CON LA AYUDA DEL OPERADOR"/>
            <filter val="SE REALIZO LIMPIEZA DE SENSORES Y CONECTORES CON LA AYUDA DEL OPERADOR"/>
            <filter val="SE REALIZO LIMPIEZA DEL AIRE ACONDICIONADO DEL PANEL DE LA LAVADORA DE BOTELLAS"/>
            <filter val="SE REALIZO LIMPIEZA INTERNA Y EXTERNA"/>
            <filter val="SE REALIZO LIMPIEZA Y LUBRICACION DE CILINDROS DE TRASNFERENCIA DE SUPREMA, TORNILLO SINFIN, HUSILLOS, SE VERIFICARON Y ENGRASARON LOS PUNTOS DE LUBRICACION CENTRALIZADA"/>
            <filter val="SE REALIZO LUBRICACION Y CAMBIO DE COMPONENTES TUBBING"/>
            <filter val="SE REALIZO MONTAJE DE MOTOR DE CEPILLO TK#2"/>
            <filter val="SE REALIZO REVISIÓN Y SE CORRIGIERON LAS ANOMALIAS"/>
            <filter val="SE REEMPLAZARON LOS CONECTORES"/>
            <filter val="SE REVISARON CONECTORES"/>
            <filter val="SE REVISARON LOS NIVELES DE ACEITE"/>
            <filter val="Se revisó nivel de aceite y no se encuentran fugas y el aceite en buen estado"/>
            <filter val="SE REVISO RECTIFICADOR Y SE ENCUENTRA BIEN._x000a_SE LIMPIO CON LIMPIADOR DE CONTACTOS"/>
            <filter val="SE SOLDARON Y REFORZÓ GUIAS DE ENTRADA DE LAVADORA DE BOTELLAS"/>
            <filter val="SE TERMINO ACTIVIDAD"/>
            <filter val="SE TERMINO DE DAR MANTENIMIENTO A CILINDROS ELEVADORES"/>
            <filter val="SE TRASLADO SODA A ISLA SE LAVO TANQUES Y SE ENJUAGARON SE BAJARON DUCHAS, SE DESARMARON PARA ASEGURAR ROCIADO PARA TENER BUENA PRESIÓN Y ASEGURAR BUEN LAVADO DE ENVASE"/>
            <filter val="SOLO SE LUBRICO DISTRIBUIDOR DE GASES POR MANTENIMIENTO Y COLOCACION DE CILINDRO DE ELEVACIÓN"/>
            <filter val="TANQUE 4 SE ENCONTRÓ UNA BOLSA QUE HAY QUE DISTRIBUIR, SE TENSÓ A 29CM LA DISTANCIA DE DOS TENSORES"/>
            <filter val="TIENEN FUGAS POR VASTAGOS Y CAMPANAS DETERIORADOS"/>
          </mc:Fallback>
        </mc:AlternateContent>
      </filters>
    </filterColumn>
  </autoFilter>
  <sortState xmlns:xlrd2="http://schemas.microsoft.com/office/spreadsheetml/2017/richdata2" ref="B4:M354">
    <sortCondition ref="E3:E354"/>
  </sortState>
  <tableColumns count="12">
    <tableColumn id="1" xr3:uid="{01595438-39ED-4FB4-96AB-EEFDFD81F069}" name="Máquina" dataDxfId="7"/>
    <tableColumn id="2" xr3:uid="{641D68D2-7B40-4F32-9EA9-C9BF1065D4A7}" name="Actividad"/>
    <tableColumn id="3" xr3:uid="{537C142B-506E-46EF-9AAC-3D839F793D3A}" name="Tipo " dataDxfId="6"/>
    <tableColumn id="4" xr3:uid="{76FF0CDD-634D-4A71-ADFE-C75908654A92}" name="Personal" dataDxfId="5"/>
    <tableColumn id="5" xr3:uid="{369334DD-081C-487E-8AE3-5CC414608431}" name="EJECUTOR"/>
    <tableColumn id="12" xr3:uid="{B109BDBF-E85D-48BE-9252-2CB4225BDA3B}" name="Cant. de personas"/>
    <tableColumn id="6" xr3:uid="{ADB27475-E44E-4252-BCF1-7A2514EE3474}" name="Tiempo estimado (h)" dataDxfId="4"/>
    <tableColumn id="7" xr3:uid="{98041FFA-EB04-459D-AC8B-C9179C4C1C2D}" name="Insumos" dataDxfId="3"/>
    <tableColumn id="8" xr3:uid="{5CD29595-D84A-4B71-BED8-8740E88C9C66}" name="Fecha de programación" dataDxfId="2"/>
    <tableColumn id="11" xr3:uid="{81074B35-1654-447F-9C2C-A4A6303A0F0C}" name="Duración real" dataDxfId="1"/>
    <tableColumn id="9" xr3:uid="{785F7321-685A-4D3B-B759-662A53FA4AAA}" name="Comentarios" dataDxfId="0"/>
    <tableColumn id="10" xr3:uid="{C7B72B3B-6A88-49DA-8443-B0FD58D01AB0}" name="Estatu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D17B72-2D45-4CE7-BDC6-DFD3912D5335}" name="Tabla7" displayName="Tabla7" ref="A3:J13" totalsRowShown="0">
  <autoFilter ref="A3:J13" xr:uid="{3AD17B72-2D45-4CE7-BDC6-DFD3912D5335}"/>
  <tableColumns count="10">
    <tableColumn id="1" xr3:uid="{91201DC1-6FC8-45D1-8932-450301AAD0B2}" name="Descripción"/>
    <tableColumn id="7" xr3:uid="{1BC8D7EB-1BA5-4E29-95CC-244D689B8E93}" name="Horas de operación"/>
    <tableColumn id="2" xr3:uid="{68DB9099-E9F0-49A9-9A83-885BB66B9E8E}" name="Tiempo"/>
    <tableColumn id="3" xr3:uid="{2BD0BB25-C4A4-4EF7-B978-B26B562B8C55}" name="Ocurr"/>
    <tableColumn id="5" xr3:uid="{7070941B-DD8A-40F7-AF59-4B000FCEBC12}" name="Tiempo2"/>
    <tableColumn id="6" xr3:uid="{5EC93B84-4389-4719-BB0A-7424FEDD21AC}" name="Ocurr3"/>
    <tableColumn id="8" xr3:uid="{2D51443F-3D92-45C1-8B2A-1F7AA003E574}" name="Tiempo5"/>
    <tableColumn id="9" xr3:uid="{4925E3B3-F885-4B4C-A58D-B6C03EC98C5D}" name="Ocurr6"/>
    <tableColumn id="11" xr3:uid="{397B3815-7818-4B21-A1F4-E9A63EDC79F4}" name="Tiempo8"/>
    <tableColumn id="12" xr3:uid="{9D6790B4-9AD3-486A-824D-E758D5A17AF3}" name="Ocurr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8725EB-E87E-4A5E-B8E1-5DE67D1A48BA}" name="Tabla2" displayName="Tabla2" ref="B3:B16" totalsRowShown="0">
  <autoFilter ref="B3:B16" xr:uid="{218725EB-E87E-4A5E-B8E1-5DE67D1A48BA}"/>
  <tableColumns count="1">
    <tableColumn id="1" xr3:uid="{FFE1F5F1-80D7-48EB-8455-C858993ED659}" name="Máquina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92F63C-CE74-4CB6-85A4-532846B2E0A6}" name="Tabla3" displayName="Tabla3" ref="D3:D6" totalsRowShown="0">
  <autoFilter ref="D3:D6" xr:uid="{C492F63C-CE74-4CB6-85A4-532846B2E0A6}"/>
  <tableColumns count="1">
    <tableColumn id="1" xr3:uid="{4B9CD214-F3E5-4378-ADE7-EBBFF3E25784}" name="Asignació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E5F0CC-5288-4D0A-A12A-807BFD276708}" name="Tabla4" displayName="Tabla4" ref="F3:F5" totalsRowShown="0">
  <autoFilter ref="F3:F5" xr:uid="{2DE5F0CC-5288-4D0A-A12A-807BFD276708}"/>
  <tableColumns count="1">
    <tableColumn id="1" xr3:uid="{EE8B34CE-4CD9-45DA-B498-61CB4397B21F}" name="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B3:M681"/>
  <sheetViews>
    <sheetView workbookViewId="0">
      <selection activeCell="B367" sqref="B367:B594"/>
    </sheetView>
  </sheetViews>
  <sheetFormatPr defaultColWidth="8.85546875" defaultRowHeight="14.45"/>
  <cols>
    <col min="2" max="2" width="31.28515625" bestFit="1" customWidth="1"/>
    <col min="3" max="3" width="64.5703125" customWidth="1"/>
    <col min="4" max="4" width="18.85546875" customWidth="1"/>
    <col min="5" max="5" width="13.5703125" customWidth="1"/>
    <col min="6" max="6" width="22.28515625" customWidth="1"/>
    <col min="7" max="7" width="18.85546875" customWidth="1"/>
    <col min="8" max="8" width="21.85546875" customWidth="1"/>
    <col min="9" max="9" width="30.7109375" hidden="1" customWidth="1"/>
    <col min="10" max="10" width="23.28515625" customWidth="1"/>
    <col min="11" max="11" width="23.28515625" style="67" customWidth="1"/>
    <col min="12" max="12" width="30.7109375" customWidth="1"/>
    <col min="13" max="13" width="13.85546875" customWidth="1"/>
  </cols>
  <sheetData>
    <row r="3" spans="2:13">
      <c r="B3" s="13" t="s">
        <v>0</v>
      </c>
      <c r="C3" s="13" t="s">
        <v>1</v>
      </c>
      <c r="D3" s="13" t="s">
        <v>2</v>
      </c>
      <c r="E3" s="13" t="s">
        <v>3</v>
      </c>
      <c r="F3" s="13" t="s">
        <v>4</v>
      </c>
      <c r="G3" s="13" t="s">
        <v>5</v>
      </c>
      <c r="H3" s="13" t="s">
        <v>6</v>
      </c>
      <c r="I3" s="13" t="s">
        <v>7</v>
      </c>
      <c r="J3" s="13" t="s">
        <v>8</v>
      </c>
      <c r="K3" s="68" t="s">
        <v>9</v>
      </c>
      <c r="L3" s="13" t="s">
        <v>10</v>
      </c>
      <c r="M3" s="13" t="s">
        <v>11</v>
      </c>
    </row>
    <row r="4" spans="2:13" hidden="1">
      <c r="B4" s="1" t="s">
        <v>12</v>
      </c>
      <c r="C4" s="1" t="s">
        <v>13</v>
      </c>
      <c r="D4" s="1"/>
      <c r="E4" s="1" t="s">
        <v>14</v>
      </c>
      <c r="F4" s="1"/>
      <c r="G4" s="1"/>
      <c r="H4" s="1"/>
      <c r="I4" s="1" t="s">
        <v>15</v>
      </c>
      <c r="J4" s="2">
        <v>46130</v>
      </c>
      <c r="K4" s="2"/>
      <c r="L4" s="1"/>
      <c r="M4" s="9" t="s">
        <v>16</v>
      </c>
    </row>
    <row r="5" spans="2:13" hidden="1">
      <c r="B5" s="3" t="s">
        <v>12</v>
      </c>
      <c r="C5" s="3" t="s">
        <v>17</v>
      </c>
      <c r="D5" s="3"/>
      <c r="E5" s="3" t="s">
        <v>14</v>
      </c>
      <c r="F5" s="3"/>
      <c r="G5" s="3"/>
      <c r="H5" s="3"/>
      <c r="I5" s="3"/>
      <c r="J5" s="4">
        <v>46132</v>
      </c>
      <c r="K5" s="4"/>
      <c r="L5" s="3"/>
      <c r="M5" s="10" t="s">
        <v>16</v>
      </c>
    </row>
    <row r="6" spans="2:13" hidden="1">
      <c r="B6" s="1" t="s">
        <v>18</v>
      </c>
      <c r="C6" s="1" t="s">
        <v>19</v>
      </c>
      <c r="D6" s="1"/>
      <c r="E6" s="1" t="s">
        <v>14</v>
      </c>
      <c r="F6" s="1"/>
      <c r="G6" s="1"/>
      <c r="H6" s="1"/>
      <c r="I6" s="1" t="s">
        <v>20</v>
      </c>
      <c r="J6" s="2">
        <v>46132</v>
      </c>
      <c r="K6" s="2"/>
      <c r="L6" s="1"/>
      <c r="M6" s="9" t="s">
        <v>16</v>
      </c>
    </row>
    <row r="7" spans="2:13" hidden="1">
      <c r="B7" s="3" t="s">
        <v>12</v>
      </c>
      <c r="C7" s="3" t="s">
        <v>21</v>
      </c>
      <c r="D7" s="3" t="s">
        <v>22</v>
      </c>
      <c r="E7" s="3" t="s">
        <v>23</v>
      </c>
      <c r="F7" s="3" t="s">
        <v>24</v>
      </c>
      <c r="G7" s="3"/>
      <c r="H7" s="19">
        <v>5</v>
      </c>
      <c r="I7" s="3"/>
      <c r="J7" s="4">
        <v>46153</v>
      </c>
      <c r="K7" s="4"/>
      <c r="L7" s="3"/>
      <c r="M7" s="11" t="s">
        <v>25</v>
      </c>
    </row>
    <row r="8" spans="2:13" hidden="1">
      <c r="B8" s="1" t="s">
        <v>12</v>
      </c>
      <c r="C8" s="1" t="s">
        <v>26</v>
      </c>
      <c r="D8" s="1"/>
      <c r="E8" s="1" t="s">
        <v>23</v>
      </c>
      <c r="F8" s="1"/>
      <c r="G8" s="1"/>
      <c r="H8" s="1"/>
      <c r="I8" s="1"/>
      <c r="J8" s="2">
        <v>46160</v>
      </c>
      <c r="K8" s="2"/>
      <c r="L8" s="1"/>
      <c r="M8" s="12" t="s">
        <v>25</v>
      </c>
    </row>
    <row r="9" spans="2:13" hidden="1">
      <c r="B9" s="3" t="s">
        <v>12</v>
      </c>
      <c r="C9" s="3" t="s">
        <v>27</v>
      </c>
      <c r="D9" s="3"/>
      <c r="E9" s="3" t="s">
        <v>14</v>
      </c>
      <c r="F9" s="3"/>
      <c r="G9" s="3"/>
      <c r="H9" s="3"/>
      <c r="I9" s="3" t="s">
        <v>28</v>
      </c>
      <c r="J9" s="4">
        <v>46129</v>
      </c>
      <c r="K9" s="4"/>
      <c r="L9" s="3"/>
      <c r="M9" s="10" t="s">
        <v>16</v>
      </c>
    </row>
    <row r="10" spans="2:13" hidden="1">
      <c r="B10" s="1" t="s">
        <v>18</v>
      </c>
      <c r="C10" s="1" t="s">
        <v>29</v>
      </c>
      <c r="D10" s="1"/>
      <c r="E10" s="1" t="s">
        <v>14</v>
      </c>
      <c r="F10" s="1"/>
      <c r="G10" s="1"/>
      <c r="H10" s="1"/>
      <c r="I10" s="1"/>
      <c r="J10" s="2">
        <v>46132</v>
      </c>
      <c r="K10" s="2"/>
      <c r="L10" s="1"/>
      <c r="M10" s="9" t="s">
        <v>16</v>
      </c>
    </row>
    <row r="11" spans="2:13" hidden="1">
      <c r="B11" s="3" t="s">
        <v>30</v>
      </c>
      <c r="C11" s="3" t="s">
        <v>31</v>
      </c>
      <c r="D11" s="3"/>
      <c r="E11" s="3" t="s">
        <v>14</v>
      </c>
      <c r="F11" s="3"/>
      <c r="G11" s="3"/>
      <c r="H11" s="3"/>
      <c r="I11" s="3" t="s">
        <v>32</v>
      </c>
      <c r="J11" s="4">
        <v>46129</v>
      </c>
      <c r="K11" s="4"/>
      <c r="L11" s="3"/>
      <c r="M11" s="10" t="s">
        <v>16</v>
      </c>
    </row>
    <row r="12" spans="2:13" hidden="1">
      <c r="B12" s="1" t="s">
        <v>30</v>
      </c>
      <c r="C12" s="1" t="s">
        <v>33</v>
      </c>
      <c r="D12" s="1"/>
      <c r="E12" s="1" t="s">
        <v>14</v>
      </c>
      <c r="F12" s="1"/>
      <c r="G12" s="1"/>
      <c r="H12" s="1"/>
      <c r="I12" s="1" t="s">
        <v>34</v>
      </c>
      <c r="J12" s="2">
        <v>46129</v>
      </c>
      <c r="K12" s="2"/>
      <c r="L12" s="1"/>
      <c r="M12" s="9" t="s">
        <v>16</v>
      </c>
    </row>
    <row r="13" spans="2:13" hidden="1">
      <c r="B13" s="3" t="s">
        <v>30</v>
      </c>
      <c r="C13" s="3" t="s">
        <v>35</v>
      </c>
      <c r="D13" s="3" t="s">
        <v>36</v>
      </c>
      <c r="E13" s="3" t="s">
        <v>23</v>
      </c>
      <c r="F13" s="3"/>
      <c r="G13" s="3"/>
      <c r="H13" s="3">
        <v>1</v>
      </c>
      <c r="I13" s="3" t="s">
        <v>37</v>
      </c>
      <c r="J13" s="4">
        <v>46146</v>
      </c>
      <c r="K13" s="4"/>
      <c r="L13" s="3"/>
      <c r="M13" s="11" t="s">
        <v>38</v>
      </c>
    </row>
    <row r="14" spans="2:13" hidden="1">
      <c r="B14" s="1" t="s">
        <v>39</v>
      </c>
      <c r="C14" s="1" t="s">
        <v>40</v>
      </c>
      <c r="D14" s="1" t="s">
        <v>41</v>
      </c>
      <c r="E14" s="1" t="s">
        <v>23</v>
      </c>
      <c r="F14" s="1" t="s">
        <v>42</v>
      </c>
      <c r="G14" s="1"/>
      <c r="H14" s="20">
        <v>0.5</v>
      </c>
      <c r="I14" s="1" t="s">
        <v>43</v>
      </c>
      <c r="J14" s="2">
        <v>46153</v>
      </c>
      <c r="K14" s="2"/>
      <c r="L14" s="1"/>
      <c r="M14" s="12" t="s">
        <v>25</v>
      </c>
    </row>
    <row r="15" spans="2:13" hidden="1">
      <c r="B15" s="3" t="s">
        <v>12</v>
      </c>
      <c r="C15" s="5" t="s">
        <v>44</v>
      </c>
      <c r="D15" s="3" t="s">
        <v>22</v>
      </c>
      <c r="E15" s="3" t="s">
        <v>14</v>
      </c>
      <c r="F15" s="3" t="s">
        <v>45</v>
      </c>
      <c r="G15" s="3"/>
      <c r="H15" s="19">
        <v>2.5</v>
      </c>
      <c r="I15" s="3" t="s">
        <v>46</v>
      </c>
      <c r="J15" s="4">
        <v>46153</v>
      </c>
      <c r="K15" s="4"/>
      <c r="L15" s="3" t="s">
        <v>47</v>
      </c>
      <c r="M15" s="10" t="s">
        <v>16</v>
      </c>
    </row>
    <row r="16" spans="2:13" hidden="1">
      <c r="B16" s="1" t="s">
        <v>48</v>
      </c>
      <c r="C16" s="5" t="s">
        <v>49</v>
      </c>
      <c r="D16" s="1" t="s">
        <v>22</v>
      </c>
      <c r="E16" s="1" t="s">
        <v>14</v>
      </c>
      <c r="F16" s="1"/>
      <c r="G16" s="1"/>
      <c r="H16" s="1" t="s">
        <v>50</v>
      </c>
      <c r="I16" s="1"/>
      <c r="J16" s="2">
        <v>46149</v>
      </c>
      <c r="K16" s="2"/>
      <c r="L16" s="1"/>
      <c r="M16" s="9" t="s">
        <v>16</v>
      </c>
    </row>
    <row r="17" spans="2:13" hidden="1">
      <c r="B17" s="3" t="s">
        <v>30</v>
      </c>
      <c r="C17" s="7" t="s">
        <v>51</v>
      </c>
      <c r="D17" s="3" t="s">
        <v>22</v>
      </c>
      <c r="E17" s="3" t="s">
        <v>14</v>
      </c>
      <c r="F17" s="3" t="s">
        <v>52</v>
      </c>
      <c r="G17" s="3"/>
      <c r="H17" s="19">
        <v>12</v>
      </c>
      <c r="I17" s="3"/>
      <c r="J17" s="4">
        <v>46153</v>
      </c>
      <c r="K17" s="4"/>
      <c r="L17" s="3"/>
      <c r="M17" s="11" t="s">
        <v>38</v>
      </c>
    </row>
    <row r="18" spans="2:13" ht="28.9" hidden="1">
      <c r="B18" s="1" t="s">
        <v>53</v>
      </c>
      <c r="C18" s="8" t="s">
        <v>54</v>
      </c>
      <c r="D18" s="1" t="s">
        <v>41</v>
      </c>
      <c r="E18" s="1" t="s">
        <v>14</v>
      </c>
      <c r="F18" s="8" t="s">
        <v>55</v>
      </c>
      <c r="G18" s="8"/>
      <c r="H18" s="20">
        <v>1</v>
      </c>
      <c r="I18" s="1"/>
      <c r="J18" s="2">
        <v>46153</v>
      </c>
      <c r="K18" s="2"/>
      <c r="L18" s="1" t="s">
        <v>56</v>
      </c>
      <c r="M18" s="9" t="s">
        <v>16</v>
      </c>
    </row>
    <row r="19" spans="2:13" ht="28.9" hidden="1">
      <c r="B19" s="3" t="s">
        <v>18</v>
      </c>
      <c r="C19" s="6" t="s">
        <v>54</v>
      </c>
      <c r="D19" s="3" t="s">
        <v>41</v>
      </c>
      <c r="E19" s="3" t="s">
        <v>14</v>
      </c>
      <c r="F19" s="6" t="s">
        <v>55</v>
      </c>
      <c r="G19" s="6"/>
      <c r="H19" s="19">
        <v>1</v>
      </c>
      <c r="I19" s="3"/>
      <c r="J19" s="4">
        <v>46153</v>
      </c>
      <c r="K19" s="4"/>
      <c r="L19" s="3" t="s">
        <v>57</v>
      </c>
      <c r="M19" s="10" t="s">
        <v>16</v>
      </c>
    </row>
    <row r="20" spans="2:13" ht="28.9" hidden="1">
      <c r="B20" s="1" t="s">
        <v>58</v>
      </c>
      <c r="C20" s="8" t="s">
        <v>54</v>
      </c>
      <c r="D20" s="1" t="s">
        <v>41</v>
      </c>
      <c r="E20" s="1" t="s">
        <v>14</v>
      </c>
      <c r="F20" s="8" t="s">
        <v>55</v>
      </c>
      <c r="G20" s="8"/>
      <c r="H20" s="20">
        <v>1</v>
      </c>
      <c r="I20" s="1"/>
      <c r="J20" s="2">
        <v>46153</v>
      </c>
      <c r="K20" s="2"/>
      <c r="L20" s="1" t="s">
        <v>59</v>
      </c>
      <c r="M20" s="9" t="s">
        <v>16</v>
      </c>
    </row>
    <row r="21" spans="2:13" ht="28.9" hidden="1">
      <c r="B21" s="3" t="s">
        <v>53</v>
      </c>
      <c r="C21" s="7" t="s">
        <v>60</v>
      </c>
      <c r="D21" s="3" t="s">
        <v>22</v>
      </c>
      <c r="E21" s="3" t="s">
        <v>14</v>
      </c>
      <c r="F21" s="3"/>
      <c r="G21" s="3"/>
      <c r="H21" s="3">
        <v>3</v>
      </c>
      <c r="I21" s="3"/>
      <c r="J21" s="4">
        <v>46146</v>
      </c>
      <c r="K21" s="4"/>
      <c r="L21" s="3"/>
      <c r="M21" s="10" t="s">
        <v>16</v>
      </c>
    </row>
    <row r="22" spans="2:13" ht="28.9" hidden="1">
      <c r="B22" s="3" t="s">
        <v>53</v>
      </c>
      <c r="C22" s="6" t="s">
        <v>61</v>
      </c>
      <c r="D22" s="3" t="s">
        <v>41</v>
      </c>
      <c r="E22" s="3" t="s">
        <v>23</v>
      </c>
      <c r="F22" s="3" t="s">
        <v>62</v>
      </c>
      <c r="G22" s="3"/>
      <c r="H22" s="19">
        <v>1.5</v>
      </c>
      <c r="I22" s="3" t="s">
        <v>63</v>
      </c>
      <c r="J22" s="4">
        <v>46153</v>
      </c>
      <c r="K22" s="4"/>
      <c r="L22" s="3"/>
      <c r="M22" s="11" t="s">
        <v>25</v>
      </c>
    </row>
    <row r="23" spans="2:13" ht="28.9" hidden="1">
      <c r="B23" s="1" t="s">
        <v>64</v>
      </c>
      <c r="C23" s="8" t="s">
        <v>61</v>
      </c>
      <c r="D23" s="1" t="s">
        <v>41</v>
      </c>
      <c r="E23" s="1" t="s">
        <v>23</v>
      </c>
      <c r="F23" s="1" t="s">
        <v>65</v>
      </c>
      <c r="G23" s="1"/>
      <c r="H23" s="20">
        <v>1.5</v>
      </c>
      <c r="I23" s="1" t="s">
        <v>63</v>
      </c>
      <c r="J23" s="2">
        <v>46153</v>
      </c>
      <c r="K23" s="2"/>
      <c r="L23" s="1"/>
      <c r="M23" s="12" t="s">
        <v>25</v>
      </c>
    </row>
    <row r="24" spans="2:13" hidden="1">
      <c r="B24" s="3" t="s">
        <v>53</v>
      </c>
      <c r="C24" s="6" t="s">
        <v>66</v>
      </c>
      <c r="D24" s="3" t="s">
        <v>41</v>
      </c>
      <c r="E24" s="3" t="s">
        <v>23</v>
      </c>
      <c r="F24" s="3" t="s">
        <v>62</v>
      </c>
      <c r="G24" s="3"/>
      <c r="H24" s="19">
        <v>1</v>
      </c>
      <c r="I24" s="3" t="s">
        <v>63</v>
      </c>
      <c r="J24" s="4">
        <v>46153</v>
      </c>
      <c r="K24" s="4"/>
      <c r="L24" s="3"/>
      <c r="M24" s="11" t="s">
        <v>25</v>
      </c>
    </row>
    <row r="25" spans="2:13" hidden="1">
      <c r="B25" s="1" t="s">
        <v>64</v>
      </c>
      <c r="C25" s="8" t="s">
        <v>66</v>
      </c>
      <c r="D25" s="1" t="s">
        <v>41</v>
      </c>
      <c r="E25" s="1" t="s">
        <v>23</v>
      </c>
      <c r="F25" s="1" t="s">
        <v>65</v>
      </c>
      <c r="G25" s="1"/>
      <c r="H25" s="20">
        <v>1</v>
      </c>
      <c r="I25" s="1" t="s">
        <v>63</v>
      </c>
      <c r="J25" s="2">
        <v>46153</v>
      </c>
      <c r="K25" s="2"/>
      <c r="L25" s="1"/>
      <c r="M25" s="12" t="s">
        <v>25</v>
      </c>
    </row>
    <row r="26" spans="2:13" hidden="1">
      <c r="B26" s="3" t="s">
        <v>18</v>
      </c>
      <c r="C26" s="6" t="s">
        <v>66</v>
      </c>
      <c r="D26" s="3" t="s">
        <v>41</v>
      </c>
      <c r="E26" s="3" t="s">
        <v>23</v>
      </c>
      <c r="F26" s="3" t="s">
        <v>67</v>
      </c>
      <c r="G26" s="3"/>
      <c r="H26" s="19">
        <v>1</v>
      </c>
      <c r="I26" s="3" t="s">
        <v>63</v>
      </c>
      <c r="J26" s="4">
        <v>46153</v>
      </c>
      <c r="K26" s="4"/>
      <c r="L26" s="3" t="s">
        <v>68</v>
      </c>
      <c r="M26" s="10" t="s">
        <v>16</v>
      </c>
    </row>
    <row r="27" spans="2:13" hidden="1">
      <c r="B27" s="1" t="s">
        <v>58</v>
      </c>
      <c r="C27" s="8" t="s">
        <v>66</v>
      </c>
      <c r="D27" s="1" t="s">
        <v>41</v>
      </c>
      <c r="E27" s="1" t="s">
        <v>23</v>
      </c>
      <c r="F27" s="1" t="s">
        <v>69</v>
      </c>
      <c r="G27" s="1"/>
      <c r="H27" s="20">
        <v>1</v>
      </c>
      <c r="I27" s="1" t="s">
        <v>63</v>
      </c>
      <c r="J27" s="2">
        <v>46153</v>
      </c>
      <c r="K27" s="2"/>
      <c r="L27" s="1" t="s">
        <v>70</v>
      </c>
      <c r="M27" s="12" t="s">
        <v>25</v>
      </c>
    </row>
    <row r="28" spans="2:13" hidden="1">
      <c r="B28" s="3" t="s">
        <v>12</v>
      </c>
      <c r="C28" s="6" t="s">
        <v>71</v>
      </c>
      <c r="D28" s="3" t="s">
        <v>41</v>
      </c>
      <c r="E28" s="3" t="s">
        <v>23</v>
      </c>
      <c r="F28" s="3" t="s">
        <v>72</v>
      </c>
      <c r="G28" s="3"/>
      <c r="H28" s="19">
        <v>0.5</v>
      </c>
      <c r="I28" s="3" t="s">
        <v>73</v>
      </c>
      <c r="J28" s="4">
        <v>46153</v>
      </c>
      <c r="K28" s="4"/>
      <c r="L28" s="3"/>
      <c r="M28" s="11" t="s">
        <v>25</v>
      </c>
    </row>
    <row r="29" spans="2:13" hidden="1">
      <c r="B29" s="1" t="s">
        <v>12</v>
      </c>
      <c r="C29" s="8" t="s">
        <v>74</v>
      </c>
      <c r="D29" s="1" t="s">
        <v>41</v>
      </c>
      <c r="E29" s="1" t="s">
        <v>23</v>
      </c>
      <c r="F29" s="1" t="s">
        <v>75</v>
      </c>
      <c r="G29" s="1"/>
      <c r="H29" s="20">
        <v>4</v>
      </c>
      <c r="I29" s="1" t="s">
        <v>76</v>
      </c>
      <c r="J29" s="2">
        <v>46153</v>
      </c>
      <c r="K29" s="2"/>
      <c r="L29" s="1"/>
      <c r="M29" s="12" t="s">
        <v>25</v>
      </c>
    </row>
    <row r="30" spans="2:13" hidden="1">
      <c r="B30" s="3" t="s">
        <v>12</v>
      </c>
      <c r="C30" s="6" t="s">
        <v>77</v>
      </c>
      <c r="D30" s="3" t="s">
        <v>41</v>
      </c>
      <c r="E30" s="3" t="s">
        <v>23</v>
      </c>
      <c r="F30" s="3" t="s">
        <v>75</v>
      </c>
      <c r="G30" s="3"/>
      <c r="H30" s="19">
        <v>3</v>
      </c>
      <c r="I30" s="3" t="s">
        <v>78</v>
      </c>
      <c r="J30" s="4">
        <v>46153</v>
      </c>
      <c r="K30" s="4"/>
      <c r="L30" s="3"/>
      <c r="M30" s="11" t="s">
        <v>25</v>
      </c>
    </row>
    <row r="31" spans="2:13" hidden="1">
      <c r="B31" s="1" t="s">
        <v>12</v>
      </c>
      <c r="C31" s="8" t="s">
        <v>79</v>
      </c>
      <c r="D31" s="8"/>
      <c r="E31" s="1" t="s">
        <v>23</v>
      </c>
      <c r="F31" s="1"/>
      <c r="G31" s="1"/>
      <c r="H31" s="1"/>
      <c r="I31" s="1"/>
      <c r="J31" s="2">
        <v>46138</v>
      </c>
      <c r="K31" s="2"/>
      <c r="L31" s="1"/>
      <c r="M31" s="9" t="s">
        <v>16</v>
      </c>
    </row>
    <row r="32" spans="2:13" ht="28.9" hidden="1">
      <c r="B32" s="3" t="s">
        <v>53</v>
      </c>
      <c r="C32" s="6" t="s">
        <v>80</v>
      </c>
      <c r="D32" s="3" t="s">
        <v>41</v>
      </c>
      <c r="E32" s="3" t="s">
        <v>23</v>
      </c>
      <c r="F32" s="3"/>
      <c r="G32" s="3"/>
      <c r="H32" s="19">
        <v>0.5</v>
      </c>
      <c r="I32" s="3" t="s">
        <v>81</v>
      </c>
      <c r="J32" s="4">
        <v>46153</v>
      </c>
      <c r="K32" s="4"/>
      <c r="L32" s="3"/>
      <c r="M32" s="11" t="s">
        <v>25</v>
      </c>
    </row>
    <row r="33" spans="2:13" ht="28.9" hidden="1">
      <c r="B33" s="1" t="s">
        <v>82</v>
      </c>
      <c r="C33" s="8" t="s">
        <v>80</v>
      </c>
      <c r="D33" s="1" t="s">
        <v>41</v>
      </c>
      <c r="E33" s="1" t="s">
        <v>23</v>
      </c>
      <c r="F33" s="1"/>
      <c r="G33" s="1"/>
      <c r="H33" s="20">
        <v>0.5</v>
      </c>
      <c r="I33" s="1" t="s">
        <v>81</v>
      </c>
      <c r="J33" s="2">
        <v>46153</v>
      </c>
      <c r="K33" s="2"/>
      <c r="L33" s="1"/>
      <c r="M33" s="12" t="s">
        <v>25</v>
      </c>
    </row>
    <row r="34" spans="2:13" ht="28.9" hidden="1">
      <c r="B34" s="3" t="s">
        <v>18</v>
      </c>
      <c r="C34" s="6" t="s">
        <v>83</v>
      </c>
      <c r="D34" s="3" t="s">
        <v>41</v>
      </c>
      <c r="E34" s="3" t="s">
        <v>23</v>
      </c>
      <c r="F34" s="3" t="s">
        <v>67</v>
      </c>
      <c r="G34" s="3"/>
      <c r="H34" s="19">
        <v>2</v>
      </c>
      <c r="I34" s="3" t="s">
        <v>84</v>
      </c>
      <c r="J34" s="4">
        <v>46153</v>
      </c>
      <c r="K34" s="4"/>
      <c r="L34" s="3"/>
      <c r="M34" s="3" t="s">
        <v>16</v>
      </c>
    </row>
    <row r="35" spans="2:13" ht="28.9" hidden="1">
      <c r="B35" s="1" t="s">
        <v>18</v>
      </c>
      <c r="C35" s="8" t="s">
        <v>80</v>
      </c>
      <c r="D35" s="1" t="s">
        <v>41</v>
      </c>
      <c r="E35" s="1" t="s">
        <v>23</v>
      </c>
      <c r="F35" s="1" t="s">
        <v>69</v>
      </c>
      <c r="G35" s="1"/>
      <c r="H35" s="20">
        <v>0.25</v>
      </c>
      <c r="I35" s="1" t="s">
        <v>81</v>
      </c>
      <c r="J35" s="2">
        <v>46153</v>
      </c>
      <c r="K35" s="2"/>
      <c r="L35" s="1" t="s">
        <v>85</v>
      </c>
      <c r="M35" s="9" t="s">
        <v>16</v>
      </c>
    </row>
    <row r="36" spans="2:13" ht="28.9" hidden="1">
      <c r="B36" s="3" t="s">
        <v>86</v>
      </c>
      <c r="C36" s="6" t="s">
        <v>80</v>
      </c>
      <c r="D36" s="3" t="s">
        <v>41</v>
      </c>
      <c r="E36" s="3" t="s">
        <v>23</v>
      </c>
      <c r="F36" s="3" t="s">
        <v>87</v>
      </c>
      <c r="G36" s="3"/>
      <c r="H36" s="19">
        <v>0.25</v>
      </c>
      <c r="I36" s="3" t="s">
        <v>81</v>
      </c>
      <c r="J36" s="4">
        <v>46153</v>
      </c>
      <c r="K36" s="4"/>
      <c r="L36" s="3" t="s">
        <v>88</v>
      </c>
      <c r="M36" s="10" t="s">
        <v>16</v>
      </c>
    </row>
    <row r="37" spans="2:13" hidden="1">
      <c r="B37" s="1" t="s">
        <v>39</v>
      </c>
      <c r="C37" s="8" t="s">
        <v>89</v>
      </c>
      <c r="D37" s="1" t="s">
        <v>22</v>
      </c>
      <c r="E37" s="1" t="s">
        <v>23</v>
      </c>
      <c r="F37" s="1" t="s">
        <v>90</v>
      </c>
      <c r="G37" s="1"/>
      <c r="H37" s="20">
        <v>2</v>
      </c>
      <c r="I37" s="1"/>
      <c r="J37" s="2">
        <v>46153</v>
      </c>
      <c r="K37" s="2"/>
      <c r="L37" s="1"/>
      <c r="M37" s="1" t="s">
        <v>16</v>
      </c>
    </row>
    <row r="38" spans="2:13" ht="28.9" hidden="1">
      <c r="B38" s="3" t="s">
        <v>39</v>
      </c>
      <c r="C38" s="6" t="s">
        <v>80</v>
      </c>
      <c r="D38" s="3" t="s">
        <v>41</v>
      </c>
      <c r="E38" s="3" t="s">
        <v>23</v>
      </c>
      <c r="F38" s="3" t="s">
        <v>90</v>
      </c>
      <c r="G38" s="3"/>
      <c r="H38" s="19">
        <v>0.5</v>
      </c>
      <c r="I38" s="3" t="s">
        <v>81</v>
      </c>
      <c r="J38" s="4">
        <v>46153</v>
      </c>
      <c r="K38" s="4"/>
      <c r="L38" s="3" t="s">
        <v>91</v>
      </c>
      <c r="M38" s="10" t="s">
        <v>16</v>
      </c>
    </row>
    <row r="39" spans="2:13" ht="28.9" hidden="1">
      <c r="B39" s="1" t="s">
        <v>92</v>
      </c>
      <c r="C39" s="8" t="s">
        <v>80</v>
      </c>
      <c r="D39" s="1" t="s">
        <v>41</v>
      </c>
      <c r="E39" s="1" t="s">
        <v>23</v>
      </c>
      <c r="F39" s="1" t="s">
        <v>93</v>
      </c>
      <c r="G39" s="1"/>
      <c r="H39" s="20">
        <v>0.5</v>
      </c>
      <c r="I39" s="1" t="s">
        <v>81</v>
      </c>
      <c r="J39" s="2">
        <v>46153</v>
      </c>
      <c r="K39" s="2"/>
      <c r="L39" s="1"/>
      <c r="M39" s="9" t="s">
        <v>16</v>
      </c>
    </row>
    <row r="40" spans="2:13" ht="28.9" hidden="1">
      <c r="B40" s="3" t="s">
        <v>58</v>
      </c>
      <c r="C40" s="6" t="s">
        <v>80</v>
      </c>
      <c r="D40" s="3" t="s">
        <v>41</v>
      </c>
      <c r="E40" s="3" t="s">
        <v>23</v>
      </c>
      <c r="F40" s="3"/>
      <c r="G40" s="3"/>
      <c r="H40" s="19">
        <v>0.5</v>
      </c>
      <c r="I40" s="3" t="s">
        <v>81</v>
      </c>
      <c r="J40" s="4">
        <v>46153</v>
      </c>
      <c r="K40" s="4"/>
      <c r="L40" s="3" t="s">
        <v>94</v>
      </c>
      <c r="M40" s="10" t="s">
        <v>16</v>
      </c>
    </row>
    <row r="41" spans="2:13" ht="28.9" hidden="1">
      <c r="B41" s="1" t="s">
        <v>64</v>
      </c>
      <c r="C41" s="8" t="s">
        <v>80</v>
      </c>
      <c r="D41" s="1" t="s">
        <v>41</v>
      </c>
      <c r="E41" s="1" t="s">
        <v>23</v>
      </c>
      <c r="F41" s="1"/>
      <c r="G41" s="1"/>
      <c r="H41" s="20">
        <v>0.5</v>
      </c>
      <c r="I41" s="1" t="s">
        <v>81</v>
      </c>
      <c r="J41" s="2">
        <v>46153</v>
      </c>
      <c r="K41" s="2"/>
      <c r="L41" s="1"/>
      <c r="M41" s="12" t="s">
        <v>25</v>
      </c>
    </row>
    <row r="42" spans="2:13" hidden="1">
      <c r="B42" s="3" t="s">
        <v>53</v>
      </c>
      <c r="C42" s="6" t="s">
        <v>95</v>
      </c>
      <c r="D42" s="3" t="s">
        <v>41</v>
      </c>
      <c r="E42" s="3" t="s">
        <v>23</v>
      </c>
      <c r="F42" s="3"/>
      <c r="G42" s="3"/>
      <c r="H42" s="19">
        <v>1</v>
      </c>
      <c r="I42" s="3"/>
      <c r="J42" s="4">
        <v>46153</v>
      </c>
      <c r="K42" s="4"/>
      <c r="L42" s="3"/>
      <c r="M42" s="11" t="s">
        <v>25</v>
      </c>
    </row>
    <row r="43" spans="2:13" hidden="1">
      <c r="B43" s="1" t="s">
        <v>12</v>
      </c>
      <c r="C43" s="8" t="s">
        <v>95</v>
      </c>
      <c r="D43" s="1" t="s">
        <v>41</v>
      </c>
      <c r="E43" s="1" t="s">
        <v>23</v>
      </c>
      <c r="F43" s="1"/>
      <c r="G43" s="1"/>
      <c r="H43" s="20">
        <v>1</v>
      </c>
      <c r="I43" s="1"/>
      <c r="J43" s="2">
        <v>46153</v>
      </c>
      <c r="K43" s="2"/>
      <c r="L43" s="1"/>
      <c r="M43" s="12" t="s">
        <v>25</v>
      </c>
    </row>
    <row r="44" spans="2:13" hidden="1">
      <c r="B44" s="3" t="s">
        <v>48</v>
      </c>
      <c r="C44" s="6" t="s">
        <v>95</v>
      </c>
      <c r="D44" s="3" t="s">
        <v>41</v>
      </c>
      <c r="E44" s="3" t="s">
        <v>23</v>
      </c>
      <c r="F44" s="3"/>
      <c r="G44" s="3"/>
      <c r="H44" s="19">
        <v>1</v>
      </c>
      <c r="I44" s="3"/>
      <c r="J44" s="4">
        <v>46153</v>
      </c>
      <c r="K44" s="4"/>
      <c r="L44" s="3"/>
      <c r="M44" s="11" t="s">
        <v>25</v>
      </c>
    </row>
    <row r="45" spans="2:13" hidden="1">
      <c r="B45" s="1" t="s">
        <v>86</v>
      </c>
      <c r="C45" s="8" t="s">
        <v>95</v>
      </c>
      <c r="D45" s="1" t="s">
        <v>41</v>
      </c>
      <c r="E45" s="1" t="s">
        <v>23</v>
      </c>
      <c r="F45" s="1"/>
      <c r="G45" s="1"/>
      <c r="H45" s="20">
        <v>2</v>
      </c>
      <c r="I45" s="1" t="s">
        <v>96</v>
      </c>
      <c r="J45" s="2">
        <v>46153</v>
      </c>
      <c r="K45" s="2"/>
      <c r="L45" s="1" t="s">
        <v>97</v>
      </c>
      <c r="M45" s="9" t="s">
        <v>16</v>
      </c>
    </row>
    <row r="46" spans="2:13" hidden="1">
      <c r="B46" s="3" t="s">
        <v>39</v>
      </c>
      <c r="C46" s="6" t="s">
        <v>98</v>
      </c>
      <c r="D46" s="3" t="s">
        <v>22</v>
      </c>
      <c r="E46" s="3" t="s">
        <v>23</v>
      </c>
      <c r="F46" s="3"/>
      <c r="G46" s="3"/>
      <c r="H46" s="19">
        <v>2</v>
      </c>
      <c r="I46" s="3" t="s">
        <v>99</v>
      </c>
      <c r="J46" s="4">
        <v>46153</v>
      </c>
      <c r="K46" s="4"/>
      <c r="L46" s="3" t="s">
        <v>100</v>
      </c>
      <c r="M46" s="10" t="s">
        <v>16</v>
      </c>
    </row>
    <row r="47" spans="2:13" hidden="1">
      <c r="B47" s="1" t="s">
        <v>39</v>
      </c>
      <c r="C47" s="8" t="s">
        <v>101</v>
      </c>
      <c r="D47" s="1" t="s">
        <v>41</v>
      </c>
      <c r="E47" s="1" t="s">
        <v>23</v>
      </c>
      <c r="F47" s="1"/>
      <c r="G47" s="1"/>
      <c r="H47" s="20">
        <v>2</v>
      </c>
      <c r="I47" s="1" t="s">
        <v>96</v>
      </c>
      <c r="J47" s="2">
        <v>46153</v>
      </c>
      <c r="K47" s="2"/>
      <c r="L47" s="1" t="s">
        <v>102</v>
      </c>
      <c r="M47" s="9" t="s">
        <v>16</v>
      </c>
    </row>
    <row r="48" spans="2:13" hidden="1">
      <c r="B48" s="3" t="s">
        <v>92</v>
      </c>
      <c r="C48" s="6" t="s">
        <v>95</v>
      </c>
      <c r="D48" s="3" t="s">
        <v>41</v>
      </c>
      <c r="E48" s="3" t="s">
        <v>23</v>
      </c>
      <c r="F48" s="3"/>
      <c r="G48" s="3"/>
      <c r="H48" s="19">
        <v>12</v>
      </c>
      <c r="I48" s="3" t="s">
        <v>96</v>
      </c>
      <c r="J48" s="4">
        <v>46153</v>
      </c>
      <c r="K48" s="4"/>
      <c r="L48" s="3"/>
      <c r="M48" s="10" t="s">
        <v>16</v>
      </c>
    </row>
    <row r="49" spans="2:13" ht="28.9" hidden="1">
      <c r="B49" s="1" t="s">
        <v>103</v>
      </c>
      <c r="C49" s="8" t="s">
        <v>104</v>
      </c>
      <c r="D49" s="1" t="s">
        <v>41</v>
      </c>
      <c r="E49" s="1" t="s">
        <v>23</v>
      </c>
      <c r="F49" s="1"/>
      <c r="G49" s="1"/>
      <c r="H49" s="20">
        <v>0.25</v>
      </c>
      <c r="I49" s="1"/>
      <c r="J49" s="2">
        <v>46153</v>
      </c>
      <c r="K49" s="2"/>
      <c r="L49" s="1"/>
      <c r="M49" s="12" t="s">
        <v>25</v>
      </c>
    </row>
    <row r="50" spans="2:13" hidden="1">
      <c r="B50" s="3" t="s">
        <v>103</v>
      </c>
      <c r="C50" s="6" t="s">
        <v>101</v>
      </c>
      <c r="D50" s="3" t="s">
        <v>41</v>
      </c>
      <c r="E50" s="3" t="s">
        <v>23</v>
      </c>
      <c r="F50" s="3"/>
      <c r="G50" s="3"/>
      <c r="H50" s="19">
        <v>2</v>
      </c>
      <c r="I50" s="3" t="s">
        <v>96</v>
      </c>
      <c r="J50" s="4">
        <v>46153</v>
      </c>
      <c r="K50" s="4"/>
      <c r="L50" s="3"/>
      <c r="M50" s="11" t="s">
        <v>25</v>
      </c>
    </row>
    <row r="51" spans="2:13" hidden="1">
      <c r="B51" s="1" t="s">
        <v>105</v>
      </c>
      <c r="C51" s="8" t="s">
        <v>95</v>
      </c>
      <c r="D51" s="1" t="s">
        <v>41</v>
      </c>
      <c r="E51" s="1" t="s">
        <v>23</v>
      </c>
      <c r="F51" s="1"/>
      <c r="G51" s="1"/>
      <c r="H51" s="20">
        <v>2</v>
      </c>
      <c r="I51" s="1" t="s">
        <v>96</v>
      </c>
      <c r="J51" s="2">
        <v>46153</v>
      </c>
      <c r="K51" s="2"/>
      <c r="L51" s="1"/>
      <c r="M51" s="12" t="s">
        <v>25</v>
      </c>
    </row>
    <row r="52" spans="2:13" hidden="1">
      <c r="B52" s="3" t="s">
        <v>18</v>
      </c>
      <c r="C52" s="6" t="s">
        <v>95</v>
      </c>
      <c r="D52" s="3" t="s">
        <v>41</v>
      </c>
      <c r="E52" s="3" t="s">
        <v>23</v>
      </c>
      <c r="F52" s="3"/>
      <c r="G52" s="3"/>
      <c r="H52" s="19">
        <v>2</v>
      </c>
      <c r="I52" s="3" t="s">
        <v>96</v>
      </c>
      <c r="J52" s="4">
        <v>46153</v>
      </c>
      <c r="K52" s="4"/>
      <c r="L52" s="3" t="s">
        <v>106</v>
      </c>
      <c r="M52" s="10" t="s">
        <v>16</v>
      </c>
    </row>
    <row r="53" spans="2:13" hidden="1">
      <c r="B53" s="1" t="s">
        <v>58</v>
      </c>
      <c r="C53" s="8" t="s">
        <v>95</v>
      </c>
      <c r="D53" s="1" t="s">
        <v>41</v>
      </c>
      <c r="E53" s="1" t="s">
        <v>23</v>
      </c>
      <c r="F53" s="1"/>
      <c r="G53" s="1"/>
      <c r="H53" s="20">
        <v>2</v>
      </c>
      <c r="I53" s="1" t="s">
        <v>96</v>
      </c>
      <c r="J53" s="2">
        <v>46153</v>
      </c>
      <c r="K53" s="2"/>
      <c r="L53" s="1" t="s">
        <v>107</v>
      </c>
      <c r="M53" s="9" t="s">
        <v>16</v>
      </c>
    </row>
    <row r="54" spans="2:13" hidden="1">
      <c r="B54" s="3" t="s">
        <v>64</v>
      </c>
      <c r="C54" s="6" t="s">
        <v>95</v>
      </c>
      <c r="D54" s="3" t="s">
        <v>41</v>
      </c>
      <c r="E54" s="3" t="s">
        <v>23</v>
      </c>
      <c r="F54" s="3"/>
      <c r="G54" s="3"/>
      <c r="H54" s="19">
        <v>2</v>
      </c>
      <c r="I54" s="3" t="s">
        <v>96</v>
      </c>
      <c r="J54" s="4">
        <v>46153</v>
      </c>
      <c r="K54" s="4"/>
      <c r="L54" s="3"/>
      <c r="M54" s="11" t="s">
        <v>25</v>
      </c>
    </row>
    <row r="55" spans="2:13" hidden="1">
      <c r="B55" s="1" t="s">
        <v>30</v>
      </c>
      <c r="C55" s="5" t="s">
        <v>108</v>
      </c>
      <c r="D55" s="1" t="s">
        <v>22</v>
      </c>
      <c r="E55" s="1" t="s">
        <v>14</v>
      </c>
      <c r="F55" s="1" t="s">
        <v>45</v>
      </c>
      <c r="G55" s="1"/>
      <c r="H55" s="20">
        <v>1</v>
      </c>
      <c r="I55" s="1" t="s">
        <v>109</v>
      </c>
      <c r="J55" s="2">
        <v>46153</v>
      </c>
      <c r="K55" s="2"/>
      <c r="L55" s="1"/>
      <c r="M55" s="12" t="s">
        <v>38</v>
      </c>
    </row>
    <row r="56" spans="2:13" hidden="1">
      <c r="B56" s="3" t="s">
        <v>30</v>
      </c>
      <c r="C56" s="3" t="s">
        <v>110</v>
      </c>
      <c r="D56" s="3" t="s">
        <v>41</v>
      </c>
      <c r="E56" s="3" t="s">
        <v>23</v>
      </c>
      <c r="F56" s="3" t="s">
        <v>111</v>
      </c>
      <c r="G56" s="3"/>
      <c r="H56" s="3">
        <v>4</v>
      </c>
      <c r="I56" s="3" t="s">
        <v>112</v>
      </c>
      <c r="J56" s="4">
        <v>46150</v>
      </c>
      <c r="K56" s="4"/>
      <c r="L56" s="3"/>
      <c r="M56" s="11" t="s">
        <v>25</v>
      </c>
    </row>
    <row r="57" spans="2:13" hidden="1">
      <c r="B57" s="1" t="s">
        <v>30</v>
      </c>
      <c r="C57" s="1" t="s">
        <v>113</v>
      </c>
      <c r="D57" s="1" t="s">
        <v>41</v>
      </c>
      <c r="E57" s="1" t="s">
        <v>23</v>
      </c>
      <c r="F57" s="1"/>
      <c r="G57" s="1"/>
      <c r="H57" s="1">
        <v>4</v>
      </c>
      <c r="I57" s="1" t="s">
        <v>112</v>
      </c>
      <c r="J57" s="2">
        <v>46146</v>
      </c>
      <c r="K57" s="2"/>
      <c r="L57" s="1"/>
      <c r="M57" s="12" t="s">
        <v>25</v>
      </c>
    </row>
    <row r="58" spans="2:13" hidden="1">
      <c r="B58" s="3" t="s">
        <v>30</v>
      </c>
      <c r="C58" s="3" t="s">
        <v>114</v>
      </c>
      <c r="D58" s="3" t="s">
        <v>41</v>
      </c>
      <c r="E58" s="3" t="s">
        <v>23</v>
      </c>
      <c r="F58" s="3" t="s">
        <v>87</v>
      </c>
      <c r="G58" s="3"/>
      <c r="H58" s="3">
        <v>4</v>
      </c>
      <c r="I58" s="3" t="s">
        <v>112</v>
      </c>
      <c r="J58" s="4">
        <v>46150</v>
      </c>
      <c r="K58" s="4"/>
      <c r="L58" s="3"/>
      <c r="M58" s="11" t="s">
        <v>25</v>
      </c>
    </row>
    <row r="59" spans="2:13" hidden="1">
      <c r="B59" s="1" t="s">
        <v>30</v>
      </c>
      <c r="C59" s="1" t="s">
        <v>115</v>
      </c>
      <c r="D59" s="1" t="s">
        <v>41</v>
      </c>
      <c r="E59" s="1" t="s">
        <v>14</v>
      </c>
      <c r="F59" s="8" t="s">
        <v>45</v>
      </c>
      <c r="G59" s="8"/>
      <c r="H59" s="1">
        <v>6</v>
      </c>
      <c r="I59" s="1" t="s">
        <v>116</v>
      </c>
      <c r="J59" s="2">
        <v>46167</v>
      </c>
      <c r="K59" s="2"/>
      <c r="L59" s="1" t="s">
        <v>117</v>
      </c>
      <c r="M59" s="12" t="s">
        <v>16</v>
      </c>
    </row>
    <row r="60" spans="2:13" hidden="1">
      <c r="B60" s="3" t="s">
        <v>92</v>
      </c>
      <c r="C60" s="5" t="s">
        <v>118</v>
      </c>
      <c r="D60" s="3" t="s">
        <v>22</v>
      </c>
      <c r="E60" s="3" t="s">
        <v>14</v>
      </c>
      <c r="F60" s="3" t="s">
        <v>119</v>
      </c>
      <c r="G60" s="3"/>
      <c r="H60" s="19">
        <v>6</v>
      </c>
      <c r="I60" s="3" t="s">
        <v>120</v>
      </c>
      <c r="J60" s="4">
        <v>46153</v>
      </c>
      <c r="K60" s="4"/>
      <c r="L60" s="3"/>
      <c r="M60" s="11" t="s">
        <v>25</v>
      </c>
    </row>
    <row r="61" spans="2:13" hidden="1">
      <c r="B61" s="1" t="s">
        <v>12</v>
      </c>
      <c r="C61" s="1" t="s">
        <v>121</v>
      </c>
      <c r="D61" s="1" t="s">
        <v>41</v>
      </c>
      <c r="E61" s="1" t="s">
        <v>23</v>
      </c>
      <c r="F61" s="1" t="s">
        <v>24</v>
      </c>
      <c r="G61" s="1"/>
      <c r="H61" s="20">
        <v>1</v>
      </c>
      <c r="I61" s="1"/>
      <c r="J61" s="2">
        <v>46153</v>
      </c>
      <c r="K61" s="2"/>
      <c r="L61" s="1"/>
      <c r="M61" s="1" t="s">
        <v>16</v>
      </c>
    </row>
    <row r="62" spans="2:13" ht="43.15" hidden="1">
      <c r="B62" s="3" t="s">
        <v>12</v>
      </c>
      <c r="C62" s="3" t="s">
        <v>122</v>
      </c>
      <c r="D62" s="3" t="s">
        <v>41</v>
      </c>
      <c r="E62" s="3" t="s">
        <v>23</v>
      </c>
      <c r="F62" s="3" t="s">
        <v>24</v>
      </c>
      <c r="G62" s="3"/>
      <c r="H62" s="19">
        <v>6</v>
      </c>
      <c r="I62" s="6" t="s">
        <v>123</v>
      </c>
      <c r="J62" s="4">
        <v>46153</v>
      </c>
      <c r="K62" s="4"/>
      <c r="L62" s="3"/>
      <c r="M62" s="11" t="s">
        <v>25</v>
      </c>
    </row>
    <row r="63" spans="2:13" hidden="1">
      <c r="B63" s="1" t="s">
        <v>12</v>
      </c>
      <c r="C63" s="1" t="s">
        <v>124</v>
      </c>
      <c r="D63" s="1" t="s">
        <v>22</v>
      </c>
      <c r="E63" s="1" t="s">
        <v>125</v>
      </c>
      <c r="F63" s="1" t="s">
        <v>126</v>
      </c>
      <c r="G63" s="1"/>
      <c r="H63" s="20">
        <v>0.5</v>
      </c>
      <c r="I63" s="1"/>
      <c r="J63" s="2">
        <v>46153</v>
      </c>
      <c r="K63" s="2"/>
      <c r="L63" s="1" t="s">
        <v>127</v>
      </c>
      <c r="M63" s="9" t="s">
        <v>16</v>
      </c>
    </row>
    <row r="64" spans="2:13" hidden="1">
      <c r="B64" s="3" t="s">
        <v>64</v>
      </c>
      <c r="C64" s="3" t="s">
        <v>128</v>
      </c>
      <c r="D64" s="3" t="s">
        <v>41</v>
      </c>
      <c r="E64" s="3" t="s">
        <v>125</v>
      </c>
      <c r="F64" s="3" t="s">
        <v>129</v>
      </c>
      <c r="G64" s="3"/>
      <c r="H64" s="19">
        <v>12</v>
      </c>
      <c r="I64" s="3"/>
      <c r="J64" s="4">
        <v>46153</v>
      </c>
      <c r="K64" s="4"/>
      <c r="L64" s="3"/>
      <c r="M64" s="3" t="s">
        <v>16</v>
      </c>
    </row>
    <row r="65" spans="2:13" hidden="1">
      <c r="B65" s="1" t="s">
        <v>53</v>
      </c>
      <c r="C65" s="1" t="s">
        <v>130</v>
      </c>
      <c r="D65" s="1" t="s">
        <v>41</v>
      </c>
      <c r="E65" s="1" t="s">
        <v>125</v>
      </c>
      <c r="F65" s="1" t="s">
        <v>129</v>
      </c>
      <c r="G65" s="1"/>
      <c r="H65" s="20">
        <v>12</v>
      </c>
      <c r="I65" s="1" t="s">
        <v>131</v>
      </c>
      <c r="J65" s="2">
        <v>46153</v>
      </c>
      <c r="K65" s="2"/>
      <c r="L65" s="1" t="s">
        <v>132</v>
      </c>
      <c r="M65" s="9" t="s">
        <v>16</v>
      </c>
    </row>
    <row r="66" spans="2:13" hidden="1">
      <c r="B66" s="3" t="s">
        <v>12</v>
      </c>
      <c r="C66" s="5" t="s">
        <v>133</v>
      </c>
      <c r="D66" s="3" t="s">
        <v>22</v>
      </c>
      <c r="E66" s="3" t="s">
        <v>14</v>
      </c>
      <c r="F66" s="3" t="s">
        <v>134</v>
      </c>
      <c r="G66" s="3"/>
      <c r="H66" s="19">
        <v>1</v>
      </c>
      <c r="I66" s="3" t="s">
        <v>135</v>
      </c>
      <c r="J66" s="4">
        <v>46153</v>
      </c>
      <c r="K66" s="4"/>
      <c r="L66" s="3" t="s">
        <v>136</v>
      </c>
      <c r="M66" s="10" t="s">
        <v>16</v>
      </c>
    </row>
    <row r="67" spans="2:13" hidden="1">
      <c r="B67" s="1" t="s">
        <v>92</v>
      </c>
      <c r="C67" s="1" t="s">
        <v>137</v>
      </c>
      <c r="D67" s="1" t="s">
        <v>22</v>
      </c>
      <c r="E67" s="1" t="s">
        <v>14</v>
      </c>
      <c r="F67" s="1" t="s">
        <v>45</v>
      </c>
      <c r="G67" s="1"/>
      <c r="H67" s="20">
        <v>1</v>
      </c>
      <c r="I67" s="1" t="s">
        <v>138</v>
      </c>
      <c r="J67" s="2">
        <v>46153</v>
      </c>
      <c r="K67" s="2"/>
      <c r="L67" s="1" t="s">
        <v>139</v>
      </c>
      <c r="M67" s="9" t="s">
        <v>16</v>
      </c>
    </row>
    <row r="68" spans="2:13" hidden="1">
      <c r="B68" s="3" t="s">
        <v>92</v>
      </c>
      <c r="C68" s="3" t="s">
        <v>140</v>
      </c>
      <c r="D68" s="3" t="s">
        <v>41</v>
      </c>
      <c r="E68" s="3" t="s">
        <v>23</v>
      </c>
      <c r="F68" s="3"/>
      <c r="G68" s="3"/>
      <c r="H68" s="19">
        <v>4</v>
      </c>
      <c r="I68" s="3" t="s">
        <v>141</v>
      </c>
      <c r="J68" s="4">
        <v>46153</v>
      </c>
      <c r="K68" s="4"/>
      <c r="L68" s="3"/>
      <c r="M68" s="11" t="s">
        <v>25</v>
      </c>
    </row>
    <row r="69" spans="2:13" hidden="1">
      <c r="B69" s="1" t="s">
        <v>92</v>
      </c>
      <c r="C69" s="5" t="s">
        <v>142</v>
      </c>
      <c r="D69" s="1" t="s">
        <v>41</v>
      </c>
      <c r="E69" s="1" t="s">
        <v>14</v>
      </c>
      <c r="F69" s="1"/>
      <c r="G69" s="1"/>
      <c r="H69" s="1">
        <v>5</v>
      </c>
      <c r="I69" s="1" t="s">
        <v>143</v>
      </c>
      <c r="J69" s="2">
        <v>46149</v>
      </c>
      <c r="K69" s="2"/>
      <c r="L69" s="1"/>
      <c r="M69" s="9" t="s">
        <v>16</v>
      </c>
    </row>
    <row r="70" spans="2:13" hidden="1">
      <c r="B70" s="3" t="s">
        <v>103</v>
      </c>
      <c r="C70" s="3" t="s">
        <v>144</v>
      </c>
      <c r="D70" s="3" t="s">
        <v>41</v>
      </c>
      <c r="E70" s="3" t="s">
        <v>23</v>
      </c>
      <c r="F70" s="3" t="s">
        <v>145</v>
      </c>
      <c r="G70" s="3"/>
      <c r="H70" s="19">
        <v>1</v>
      </c>
      <c r="I70" s="3" t="s">
        <v>146</v>
      </c>
      <c r="J70" s="4">
        <v>46153</v>
      </c>
      <c r="K70" s="4"/>
      <c r="L70" s="3"/>
      <c r="M70" s="11" t="s">
        <v>25</v>
      </c>
    </row>
    <row r="71" spans="2:13" hidden="1">
      <c r="B71" s="1" t="s">
        <v>53</v>
      </c>
      <c r="C71" s="1" t="s">
        <v>147</v>
      </c>
      <c r="D71" s="1" t="s">
        <v>22</v>
      </c>
      <c r="E71" s="1" t="s">
        <v>125</v>
      </c>
      <c r="F71" s="1"/>
      <c r="G71" s="1"/>
      <c r="H71" s="20">
        <v>12</v>
      </c>
      <c r="I71" s="1"/>
      <c r="J71" s="2">
        <v>46153</v>
      </c>
      <c r="K71" s="2"/>
      <c r="L71" s="1"/>
      <c r="M71" s="9" t="s">
        <v>16</v>
      </c>
    </row>
    <row r="72" spans="2:13" hidden="1">
      <c r="B72" s="3" t="s">
        <v>103</v>
      </c>
      <c r="C72" s="3" t="s">
        <v>148</v>
      </c>
      <c r="D72" s="3" t="s">
        <v>22</v>
      </c>
      <c r="E72" s="3" t="s">
        <v>14</v>
      </c>
      <c r="F72" s="3"/>
      <c r="G72" s="3"/>
      <c r="H72" s="19">
        <v>1.5</v>
      </c>
      <c r="I72" s="3"/>
      <c r="J72" s="4">
        <v>46153</v>
      </c>
      <c r="K72" s="4"/>
      <c r="L72" s="3"/>
      <c r="M72" s="10" t="s">
        <v>16</v>
      </c>
    </row>
    <row r="73" spans="2:13" ht="28.9" hidden="1">
      <c r="B73" s="1" t="s">
        <v>30</v>
      </c>
      <c r="C73" s="8" t="s">
        <v>149</v>
      </c>
      <c r="D73" s="1" t="s">
        <v>22</v>
      </c>
      <c r="E73" s="1" t="s">
        <v>14</v>
      </c>
      <c r="F73" s="1" t="s">
        <v>150</v>
      </c>
      <c r="G73" s="1"/>
      <c r="H73" s="20">
        <v>0.5</v>
      </c>
      <c r="I73" s="1"/>
      <c r="J73" s="2">
        <v>46153</v>
      </c>
      <c r="K73" s="2"/>
      <c r="L73" s="1" t="s">
        <v>151</v>
      </c>
      <c r="M73" s="9" t="s">
        <v>16</v>
      </c>
    </row>
    <row r="74" spans="2:13" hidden="1">
      <c r="B74" s="3" t="s">
        <v>12</v>
      </c>
      <c r="C74" s="7" t="s">
        <v>152</v>
      </c>
      <c r="D74" s="3" t="s">
        <v>22</v>
      </c>
      <c r="E74" s="3" t="s">
        <v>14</v>
      </c>
      <c r="F74" s="3" t="s">
        <v>45</v>
      </c>
      <c r="G74" s="3"/>
      <c r="H74" s="3" t="s">
        <v>50</v>
      </c>
      <c r="I74" s="3"/>
      <c r="J74" s="3"/>
      <c r="K74" s="3"/>
      <c r="L74" s="3"/>
      <c r="M74" s="3"/>
    </row>
    <row r="75" spans="2:13" hidden="1">
      <c r="B75" s="1" t="s">
        <v>12</v>
      </c>
      <c r="C75" s="5" t="s">
        <v>153</v>
      </c>
      <c r="D75" s="1" t="s">
        <v>41</v>
      </c>
      <c r="E75" s="1" t="s">
        <v>125</v>
      </c>
      <c r="F75" s="1" t="s">
        <v>154</v>
      </c>
      <c r="G75" s="1"/>
      <c r="H75" s="20">
        <v>1</v>
      </c>
      <c r="I75" s="1" t="s">
        <v>155</v>
      </c>
      <c r="J75" s="2">
        <v>46153</v>
      </c>
      <c r="K75" s="2"/>
      <c r="L75" s="1" t="s">
        <v>156</v>
      </c>
      <c r="M75" s="12" t="s">
        <v>25</v>
      </c>
    </row>
    <row r="76" spans="2:13" hidden="1">
      <c r="B76" s="3" t="s">
        <v>39</v>
      </c>
      <c r="C76" s="3" t="s">
        <v>157</v>
      </c>
      <c r="D76" s="3" t="s">
        <v>22</v>
      </c>
      <c r="E76" s="3" t="s">
        <v>23</v>
      </c>
      <c r="F76" s="3"/>
      <c r="G76" s="3"/>
      <c r="H76" s="19">
        <v>0.5</v>
      </c>
      <c r="I76" s="3" t="s">
        <v>158</v>
      </c>
      <c r="J76" s="4">
        <v>46153</v>
      </c>
      <c r="K76" s="4"/>
      <c r="L76" s="3" t="s">
        <v>159</v>
      </c>
      <c r="M76" s="10" t="s">
        <v>16</v>
      </c>
    </row>
    <row r="77" spans="2:13" hidden="1">
      <c r="B77" s="1" t="s">
        <v>92</v>
      </c>
      <c r="C77" s="1" t="s">
        <v>160</v>
      </c>
      <c r="D77" s="1" t="s">
        <v>22</v>
      </c>
      <c r="E77" s="1" t="s">
        <v>23</v>
      </c>
      <c r="F77" s="1" t="s">
        <v>93</v>
      </c>
      <c r="G77" s="1"/>
      <c r="H77" s="20">
        <v>1</v>
      </c>
      <c r="I77" s="1" t="s">
        <v>161</v>
      </c>
      <c r="J77" s="2">
        <v>46153</v>
      </c>
      <c r="K77" s="2"/>
      <c r="L77" s="1"/>
      <c r="M77" s="9" t="s">
        <v>16</v>
      </c>
    </row>
    <row r="78" spans="2:13" hidden="1">
      <c r="B78" s="3" t="s">
        <v>92</v>
      </c>
      <c r="C78" s="3" t="s">
        <v>162</v>
      </c>
      <c r="D78" s="3" t="s">
        <v>22</v>
      </c>
      <c r="E78" s="3" t="s">
        <v>23</v>
      </c>
      <c r="F78" s="3" t="s">
        <v>163</v>
      </c>
      <c r="G78" s="3"/>
      <c r="H78" s="19">
        <v>1</v>
      </c>
      <c r="I78" s="3" t="s">
        <v>164</v>
      </c>
      <c r="J78" s="4">
        <v>46153</v>
      </c>
      <c r="K78" s="4"/>
      <c r="L78" s="3"/>
      <c r="M78" s="11" t="s">
        <v>25</v>
      </c>
    </row>
    <row r="79" spans="2:13" hidden="1">
      <c r="B79" s="1" t="s">
        <v>92</v>
      </c>
      <c r="C79" s="1" t="s">
        <v>165</v>
      </c>
      <c r="D79" s="1" t="s">
        <v>41</v>
      </c>
      <c r="E79" s="1" t="s">
        <v>125</v>
      </c>
      <c r="F79" s="1"/>
      <c r="G79" s="1"/>
      <c r="H79" s="1"/>
      <c r="I79" s="1"/>
      <c r="J79" s="1"/>
      <c r="K79" s="1"/>
      <c r="L79" s="1"/>
      <c r="M79" s="1"/>
    </row>
    <row r="80" spans="2:13" ht="28.9" hidden="1">
      <c r="B80" s="3" t="s">
        <v>92</v>
      </c>
      <c r="C80" s="3" t="s">
        <v>166</v>
      </c>
      <c r="D80" s="3" t="s">
        <v>41</v>
      </c>
      <c r="E80" s="3" t="s">
        <v>23</v>
      </c>
      <c r="F80" s="3" t="s">
        <v>163</v>
      </c>
      <c r="G80" s="3"/>
      <c r="H80" s="19">
        <v>1</v>
      </c>
      <c r="I80" s="6" t="s">
        <v>167</v>
      </c>
      <c r="J80" s="4">
        <v>46153</v>
      </c>
      <c r="K80" s="4"/>
      <c r="L80" s="3"/>
      <c r="M80" s="10" t="s">
        <v>16</v>
      </c>
    </row>
    <row r="81" spans="2:13" hidden="1">
      <c r="B81" s="1" t="s">
        <v>92</v>
      </c>
      <c r="C81" s="1" t="s">
        <v>168</v>
      </c>
      <c r="D81" s="1" t="s">
        <v>41</v>
      </c>
      <c r="E81" s="1" t="s">
        <v>125</v>
      </c>
      <c r="F81" s="1"/>
      <c r="G81" s="1"/>
      <c r="H81" s="20">
        <v>0.5</v>
      </c>
      <c r="I81" s="1"/>
      <c r="J81" s="2">
        <v>46153</v>
      </c>
      <c r="K81" s="2"/>
      <c r="L81" s="1"/>
      <c r="M81" s="12" t="s">
        <v>25</v>
      </c>
    </row>
    <row r="82" spans="2:13" ht="28.9" hidden="1">
      <c r="B82" s="3" t="s">
        <v>64</v>
      </c>
      <c r="C82" s="3" t="s">
        <v>169</v>
      </c>
      <c r="D82" s="3" t="s">
        <v>22</v>
      </c>
      <c r="E82" s="3" t="s">
        <v>14</v>
      </c>
      <c r="F82" s="6" t="s">
        <v>24</v>
      </c>
      <c r="G82" s="6"/>
      <c r="H82" s="19">
        <v>2</v>
      </c>
      <c r="I82" s="6" t="s">
        <v>170</v>
      </c>
      <c r="J82" s="4">
        <v>46167</v>
      </c>
      <c r="K82" s="4"/>
      <c r="L82" s="3" t="s">
        <v>171</v>
      </c>
      <c r="M82" s="11" t="s">
        <v>25</v>
      </c>
    </row>
    <row r="83" spans="2:13" hidden="1">
      <c r="B83" s="1" t="s">
        <v>18</v>
      </c>
      <c r="C83" s="1" t="s">
        <v>172</v>
      </c>
      <c r="D83" s="1" t="s">
        <v>41</v>
      </c>
      <c r="E83" s="1" t="s">
        <v>23</v>
      </c>
      <c r="F83" s="1" t="s">
        <v>67</v>
      </c>
      <c r="G83" s="1"/>
      <c r="H83" s="20">
        <v>1</v>
      </c>
      <c r="I83" s="1"/>
      <c r="J83" s="2">
        <v>46153</v>
      </c>
      <c r="K83" s="2"/>
      <c r="L83" s="1"/>
      <c r="M83" s="1" t="s">
        <v>16</v>
      </c>
    </row>
    <row r="84" spans="2:13" ht="28.9" hidden="1">
      <c r="B84" s="14" t="s">
        <v>48</v>
      </c>
      <c r="C84" s="15" t="s">
        <v>173</v>
      </c>
      <c r="D84" s="14" t="s">
        <v>22</v>
      </c>
      <c r="E84" s="14" t="s">
        <v>14</v>
      </c>
      <c r="F84" s="14" t="s">
        <v>119</v>
      </c>
      <c r="G84" s="14"/>
      <c r="H84" s="14">
        <v>2</v>
      </c>
      <c r="I84" s="16" t="s">
        <v>174</v>
      </c>
      <c r="J84" s="17">
        <v>46150</v>
      </c>
      <c r="K84" s="17"/>
      <c r="L84" s="14"/>
      <c r="M84" s="14"/>
    </row>
    <row r="85" spans="2:13" hidden="1">
      <c r="B85" s="3" t="s">
        <v>92</v>
      </c>
      <c r="C85" s="3" t="s">
        <v>175</v>
      </c>
      <c r="D85" s="3" t="s">
        <v>22</v>
      </c>
      <c r="E85" s="3" t="s">
        <v>14</v>
      </c>
      <c r="F85" s="23" t="s">
        <v>150</v>
      </c>
      <c r="G85" s="23"/>
      <c r="H85" s="3">
        <v>8</v>
      </c>
      <c r="I85" s="6" t="s">
        <v>176</v>
      </c>
      <c r="J85" s="4">
        <v>46167</v>
      </c>
      <c r="K85" s="4"/>
      <c r="L85" s="3"/>
      <c r="M85" s="23" t="s">
        <v>25</v>
      </c>
    </row>
    <row r="86" spans="2:13" ht="28.9" hidden="1">
      <c r="B86" s="3" t="s">
        <v>103</v>
      </c>
      <c r="C86" t="s">
        <v>177</v>
      </c>
      <c r="D86" s="3" t="s">
        <v>22</v>
      </c>
      <c r="E86" s="3" t="s">
        <v>14</v>
      </c>
      <c r="F86" t="s">
        <v>119</v>
      </c>
      <c r="H86" s="3">
        <v>4</v>
      </c>
      <c r="I86" s="6" t="s">
        <v>178</v>
      </c>
      <c r="J86" s="4">
        <v>46167</v>
      </c>
      <c r="K86" s="4"/>
      <c r="L86" s="3"/>
      <c r="M86" t="s">
        <v>25</v>
      </c>
    </row>
    <row r="87" spans="2:13" hidden="1">
      <c r="B87" s="3" t="s">
        <v>103</v>
      </c>
      <c r="C87" t="s">
        <v>179</v>
      </c>
      <c r="D87" s="3" t="s">
        <v>41</v>
      </c>
      <c r="E87" s="3" t="s">
        <v>14</v>
      </c>
      <c r="F87" t="s">
        <v>119</v>
      </c>
      <c r="H87" s="3">
        <v>1</v>
      </c>
      <c r="I87" s="6" t="s">
        <v>180</v>
      </c>
      <c r="J87" s="4">
        <v>46167</v>
      </c>
      <c r="K87" s="4"/>
      <c r="L87" s="3" t="s">
        <v>181</v>
      </c>
      <c r="M87" t="s">
        <v>16</v>
      </c>
    </row>
    <row r="88" spans="2:13" ht="28.9" hidden="1">
      <c r="B88" s="14" t="s">
        <v>182</v>
      </c>
      <c r="C88" t="s">
        <v>183</v>
      </c>
      <c r="D88" s="14" t="s">
        <v>41</v>
      </c>
      <c r="E88" s="14" t="s">
        <v>125</v>
      </c>
      <c r="F88" t="s">
        <v>126</v>
      </c>
      <c r="H88" s="14">
        <v>3</v>
      </c>
      <c r="I88" s="16" t="s">
        <v>184</v>
      </c>
      <c r="J88" s="17">
        <v>46167</v>
      </c>
      <c r="K88" s="17"/>
      <c r="L88" s="3" t="s">
        <v>185</v>
      </c>
      <c r="M88" t="s">
        <v>16</v>
      </c>
    </row>
    <row r="89" spans="2:13" hidden="1">
      <c r="B89" s="3" t="s">
        <v>30</v>
      </c>
      <c r="C89" t="s">
        <v>186</v>
      </c>
      <c r="D89" s="3" t="s">
        <v>22</v>
      </c>
      <c r="E89" s="3" t="s">
        <v>23</v>
      </c>
      <c r="F89" t="s">
        <v>24</v>
      </c>
      <c r="H89" s="25">
        <v>3</v>
      </c>
      <c r="I89" s="6"/>
      <c r="J89" s="4">
        <v>46156</v>
      </c>
      <c r="K89" s="4"/>
      <c r="L89" s="3"/>
      <c r="M89" t="s">
        <v>25</v>
      </c>
    </row>
    <row r="90" spans="2:13" hidden="1">
      <c r="B90" s="3" t="s">
        <v>30</v>
      </c>
      <c r="C90" t="s">
        <v>187</v>
      </c>
      <c r="D90" s="3" t="s">
        <v>22</v>
      </c>
      <c r="E90" s="3" t="s">
        <v>23</v>
      </c>
      <c r="F90" t="s">
        <v>188</v>
      </c>
      <c r="H90" s="25">
        <v>3</v>
      </c>
      <c r="I90" s="6"/>
      <c r="J90" s="4">
        <v>46156</v>
      </c>
      <c r="K90" s="4"/>
      <c r="L90" s="3"/>
      <c r="M90" t="s">
        <v>25</v>
      </c>
    </row>
    <row r="91" spans="2:13" hidden="1">
      <c r="B91" s="3" t="s">
        <v>30</v>
      </c>
      <c r="C91" t="s">
        <v>189</v>
      </c>
      <c r="D91" s="3" t="s">
        <v>22</v>
      </c>
      <c r="E91" s="3" t="s">
        <v>23</v>
      </c>
      <c r="F91" t="s">
        <v>134</v>
      </c>
      <c r="H91" s="25">
        <v>3</v>
      </c>
      <c r="I91" s="6"/>
      <c r="J91" s="4">
        <v>46156</v>
      </c>
      <c r="K91" s="4"/>
      <c r="L91" s="3"/>
      <c r="M91" t="s">
        <v>25</v>
      </c>
    </row>
    <row r="92" spans="2:13" hidden="1">
      <c r="B92" s="3" t="s">
        <v>30</v>
      </c>
      <c r="C92" t="s">
        <v>190</v>
      </c>
      <c r="D92" s="3" t="s">
        <v>22</v>
      </c>
      <c r="E92" s="3" t="s">
        <v>23</v>
      </c>
      <c r="F92" t="s">
        <v>62</v>
      </c>
      <c r="H92" s="26">
        <v>3</v>
      </c>
      <c r="I92" s="16"/>
      <c r="J92" s="4">
        <v>46156</v>
      </c>
      <c r="K92" s="17"/>
      <c r="L92" s="14"/>
      <c r="M92" t="s">
        <v>25</v>
      </c>
    </row>
    <row r="93" spans="2:13" hidden="1">
      <c r="B93" s="3" t="s">
        <v>30</v>
      </c>
      <c r="C93" t="s">
        <v>191</v>
      </c>
      <c r="D93" s="3" t="s">
        <v>22</v>
      </c>
      <c r="E93" s="3" t="s">
        <v>23</v>
      </c>
      <c r="F93" t="s">
        <v>192</v>
      </c>
      <c r="H93" s="25">
        <v>4</v>
      </c>
      <c r="I93" s="6"/>
      <c r="J93" s="4">
        <v>46156</v>
      </c>
      <c r="K93" s="4"/>
      <c r="L93" s="3"/>
      <c r="M93" t="s">
        <v>25</v>
      </c>
    </row>
    <row r="94" spans="2:13" hidden="1">
      <c r="B94" s="3" t="s">
        <v>30</v>
      </c>
      <c r="C94" t="s">
        <v>193</v>
      </c>
      <c r="D94" s="3" t="s">
        <v>22</v>
      </c>
      <c r="E94" s="3" t="s">
        <v>23</v>
      </c>
      <c r="F94" t="s">
        <v>90</v>
      </c>
      <c r="H94" s="26">
        <v>3</v>
      </c>
      <c r="I94" s="16"/>
      <c r="J94" s="4">
        <v>46156</v>
      </c>
      <c r="K94" s="17"/>
      <c r="L94" s="14"/>
      <c r="M94" t="s">
        <v>25</v>
      </c>
    </row>
    <row r="95" spans="2:13" ht="28.9" hidden="1">
      <c r="B95" s="14" t="s">
        <v>182</v>
      </c>
      <c r="C95" t="s">
        <v>183</v>
      </c>
      <c r="D95" s="14" t="s">
        <v>41</v>
      </c>
      <c r="E95" s="14" t="s">
        <v>125</v>
      </c>
      <c r="F95" t="s">
        <v>194</v>
      </c>
      <c r="H95" s="14">
        <v>3</v>
      </c>
      <c r="I95" s="16" t="s">
        <v>184</v>
      </c>
      <c r="J95" s="17">
        <v>46167</v>
      </c>
      <c r="K95" s="17"/>
      <c r="L95" s="14" t="s">
        <v>195</v>
      </c>
      <c r="M95" t="s">
        <v>16</v>
      </c>
    </row>
    <row r="96" spans="2:13" hidden="1">
      <c r="B96" s="14" t="s">
        <v>30</v>
      </c>
      <c r="C96" t="s">
        <v>196</v>
      </c>
      <c r="D96" s="14" t="s">
        <v>41</v>
      </c>
      <c r="E96" s="14" t="s">
        <v>14</v>
      </c>
      <c r="F96" t="s">
        <v>134</v>
      </c>
      <c r="H96" s="14">
        <v>5</v>
      </c>
      <c r="I96" s="1" t="s">
        <v>116</v>
      </c>
      <c r="J96" s="17">
        <v>46167</v>
      </c>
      <c r="K96" s="17"/>
      <c r="L96" s="14" t="s">
        <v>197</v>
      </c>
      <c r="M96" t="s">
        <v>16</v>
      </c>
    </row>
    <row r="97" spans="2:13" ht="28.9" hidden="1">
      <c r="B97" s="14" t="s">
        <v>182</v>
      </c>
      <c r="C97" t="s">
        <v>198</v>
      </c>
      <c r="D97" s="14" t="s">
        <v>199</v>
      </c>
      <c r="E97" s="14" t="s">
        <v>14</v>
      </c>
      <c r="F97" t="s">
        <v>119</v>
      </c>
      <c r="H97" s="14">
        <v>3</v>
      </c>
      <c r="I97" s="16" t="s">
        <v>200</v>
      </c>
      <c r="J97" s="17">
        <v>46167</v>
      </c>
      <c r="K97" s="17"/>
      <c r="L97" s="14" t="s">
        <v>201</v>
      </c>
      <c r="M97" t="s">
        <v>25</v>
      </c>
    </row>
    <row r="98" spans="2:13" hidden="1">
      <c r="B98" s="14" t="s">
        <v>30</v>
      </c>
      <c r="C98" t="s">
        <v>202</v>
      </c>
      <c r="D98" s="14" t="s">
        <v>22</v>
      </c>
      <c r="E98" s="14" t="s">
        <v>14</v>
      </c>
      <c r="F98" t="s">
        <v>119</v>
      </c>
      <c r="H98" s="14">
        <v>1</v>
      </c>
      <c r="I98" s="16" t="s">
        <v>203</v>
      </c>
      <c r="J98" s="17">
        <v>46167</v>
      </c>
      <c r="K98" s="17"/>
      <c r="L98" s="14" t="s">
        <v>181</v>
      </c>
      <c r="M98" t="s">
        <v>16</v>
      </c>
    </row>
    <row r="99" spans="2:13" hidden="1">
      <c r="B99" s="14" t="s">
        <v>204</v>
      </c>
      <c r="C99" t="s">
        <v>205</v>
      </c>
      <c r="D99" s="14" t="s">
        <v>22</v>
      </c>
      <c r="E99" s="14" t="s">
        <v>14</v>
      </c>
      <c r="F99" t="s">
        <v>134</v>
      </c>
      <c r="H99" s="14">
        <v>1</v>
      </c>
      <c r="I99" s="16" t="s">
        <v>206</v>
      </c>
      <c r="J99" s="17">
        <v>46167</v>
      </c>
      <c r="K99" s="17"/>
      <c r="L99" s="14" t="s">
        <v>207</v>
      </c>
      <c r="M99" t="s">
        <v>16</v>
      </c>
    </row>
    <row r="100" spans="2:13" ht="28.9" hidden="1">
      <c r="B100" s="14" t="s">
        <v>208</v>
      </c>
      <c r="C100" t="s">
        <v>209</v>
      </c>
      <c r="D100" s="14" t="s">
        <v>41</v>
      </c>
      <c r="E100" s="14" t="s">
        <v>125</v>
      </c>
      <c r="F100" t="s">
        <v>126</v>
      </c>
      <c r="H100" s="14">
        <v>5</v>
      </c>
      <c r="I100" s="16" t="s">
        <v>184</v>
      </c>
      <c r="J100" s="17">
        <v>46167</v>
      </c>
      <c r="K100" s="17"/>
      <c r="L100" s="14" t="s">
        <v>210</v>
      </c>
      <c r="M100" t="s">
        <v>16</v>
      </c>
    </row>
    <row r="101" spans="2:13" ht="28.9" hidden="1">
      <c r="B101" s="14" t="s">
        <v>103</v>
      </c>
      <c r="C101" t="s">
        <v>211</v>
      </c>
      <c r="D101" s="14" t="s">
        <v>41</v>
      </c>
      <c r="E101" s="14" t="s">
        <v>125</v>
      </c>
      <c r="F101" t="s">
        <v>154</v>
      </c>
      <c r="H101" s="14">
        <v>5</v>
      </c>
      <c r="I101" s="16" t="s">
        <v>184</v>
      </c>
      <c r="J101" s="17">
        <v>46167</v>
      </c>
      <c r="K101" s="17"/>
      <c r="L101" s="14"/>
      <c r="M101" t="s">
        <v>25</v>
      </c>
    </row>
    <row r="102" spans="2:13" hidden="1">
      <c r="B102" s="14" t="s">
        <v>30</v>
      </c>
      <c r="C102" t="s">
        <v>212</v>
      </c>
      <c r="D102" s="14" t="s">
        <v>22</v>
      </c>
      <c r="E102" s="14" t="s">
        <v>14</v>
      </c>
      <c r="F102" t="s">
        <v>150</v>
      </c>
      <c r="H102" s="14">
        <v>1</v>
      </c>
      <c r="I102" s="16" t="s">
        <v>213</v>
      </c>
      <c r="J102" s="17">
        <v>46174</v>
      </c>
      <c r="K102" s="17"/>
      <c r="L102" s="14" t="s">
        <v>214</v>
      </c>
      <c r="M102" t="s">
        <v>16</v>
      </c>
    </row>
    <row r="103" spans="2:13" ht="28.9" hidden="1">
      <c r="B103" s="3" t="s">
        <v>30</v>
      </c>
      <c r="C103" t="s">
        <v>215</v>
      </c>
      <c r="D103" s="3" t="s">
        <v>22</v>
      </c>
      <c r="E103" s="3" t="s">
        <v>125</v>
      </c>
      <c r="F103" t="s">
        <v>126</v>
      </c>
      <c r="H103" s="3">
        <v>5</v>
      </c>
      <c r="I103" s="6" t="s">
        <v>216</v>
      </c>
      <c r="J103" s="4">
        <v>46174</v>
      </c>
      <c r="K103" s="4"/>
      <c r="L103" s="3" t="s">
        <v>217</v>
      </c>
      <c r="M103" t="s">
        <v>16</v>
      </c>
    </row>
    <row r="104" spans="2:13" ht="28.9" hidden="1">
      <c r="B104" s="3" t="s">
        <v>218</v>
      </c>
      <c r="C104" t="s">
        <v>219</v>
      </c>
      <c r="D104" s="3" t="s">
        <v>22</v>
      </c>
      <c r="E104" s="14" t="s">
        <v>14</v>
      </c>
      <c r="F104" t="s">
        <v>119</v>
      </c>
      <c r="H104" s="3">
        <v>2</v>
      </c>
      <c r="I104" s="6" t="s">
        <v>220</v>
      </c>
      <c r="J104" s="4">
        <v>46174</v>
      </c>
      <c r="K104" s="4"/>
      <c r="L104" s="3" t="s">
        <v>221</v>
      </c>
      <c r="M104" t="s">
        <v>16</v>
      </c>
    </row>
    <row r="105" spans="2:13" ht="28.9" hidden="1">
      <c r="B105" s="14" t="s">
        <v>218</v>
      </c>
      <c r="C105" t="s">
        <v>222</v>
      </c>
      <c r="D105" s="3" t="s">
        <v>22</v>
      </c>
      <c r="E105" s="14" t="s">
        <v>14</v>
      </c>
      <c r="F105" t="s">
        <v>45</v>
      </c>
      <c r="H105" s="14">
        <v>5</v>
      </c>
      <c r="I105" s="16" t="s">
        <v>223</v>
      </c>
      <c r="J105" s="4">
        <v>46174</v>
      </c>
      <c r="K105" s="17"/>
      <c r="L105" s="14" t="s">
        <v>224</v>
      </c>
      <c r="M105" t="s">
        <v>16</v>
      </c>
    </row>
    <row r="106" spans="2:13" ht="28.9" hidden="1">
      <c r="B106" s="14" t="s">
        <v>218</v>
      </c>
      <c r="C106" t="s">
        <v>225</v>
      </c>
      <c r="D106" s="3" t="s">
        <v>22</v>
      </c>
      <c r="E106" s="14" t="s">
        <v>14</v>
      </c>
      <c r="F106" t="s">
        <v>150</v>
      </c>
      <c r="H106" s="3">
        <v>3</v>
      </c>
      <c r="I106" s="6" t="s">
        <v>226</v>
      </c>
      <c r="J106" s="4">
        <v>46174</v>
      </c>
      <c r="K106" s="4"/>
      <c r="L106" s="3" t="s">
        <v>227</v>
      </c>
      <c r="M106" t="s">
        <v>16</v>
      </c>
    </row>
    <row r="107" spans="2:13" hidden="1">
      <c r="B107" s="3" t="s">
        <v>103</v>
      </c>
      <c r="C107" t="s">
        <v>228</v>
      </c>
      <c r="D107" s="3" t="s">
        <v>22</v>
      </c>
      <c r="E107" s="14" t="s">
        <v>14</v>
      </c>
      <c r="F107" t="s">
        <v>45</v>
      </c>
      <c r="H107" s="3">
        <v>3</v>
      </c>
      <c r="I107" s="6" t="s">
        <v>229</v>
      </c>
      <c r="J107" s="4">
        <v>46174</v>
      </c>
      <c r="K107" s="4"/>
      <c r="L107" s="3" t="s">
        <v>230</v>
      </c>
      <c r="M107" t="s">
        <v>16</v>
      </c>
    </row>
    <row r="108" spans="2:13" hidden="1">
      <c r="B108" s="3" t="s">
        <v>103</v>
      </c>
      <c r="C108" t="s">
        <v>231</v>
      </c>
      <c r="D108" s="3" t="s">
        <v>22</v>
      </c>
      <c r="E108" s="3" t="s">
        <v>125</v>
      </c>
      <c r="F108" t="s">
        <v>126</v>
      </c>
      <c r="H108" s="3">
        <v>1</v>
      </c>
      <c r="I108" s="6" t="s">
        <v>232</v>
      </c>
      <c r="J108" s="4">
        <v>46174</v>
      </c>
      <c r="K108" s="4"/>
      <c r="L108" s="3" t="s">
        <v>233</v>
      </c>
      <c r="M108" t="s">
        <v>16</v>
      </c>
    </row>
    <row r="109" spans="2:13" hidden="1">
      <c r="B109" s="3"/>
      <c r="D109" s="3"/>
      <c r="E109" s="3"/>
      <c r="H109" s="3"/>
      <c r="I109" s="6"/>
      <c r="J109" s="4"/>
      <c r="K109" s="4"/>
      <c r="L109" s="3"/>
    </row>
    <row r="110" spans="2:13" hidden="1">
      <c r="B110" s="3"/>
      <c r="D110" s="3"/>
      <c r="E110" s="3"/>
      <c r="H110" s="3"/>
      <c r="I110" s="6"/>
      <c r="J110" s="4"/>
      <c r="K110" s="4"/>
      <c r="L110" s="3"/>
    </row>
    <row r="111" spans="2:13" hidden="1">
      <c r="B111" s="3"/>
      <c r="D111" s="3"/>
      <c r="E111" s="3"/>
      <c r="H111" s="3"/>
      <c r="I111" s="6"/>
      <c r="J111" s="4"/>
      <c r="K111" s="4"/>
      <c r="L111" s="3"/>
    </row>
    <row r="112" spans="2:13" hidden="1">
      <c r="B112" s="3"/>
      <c r="D112" s="3"/>
      <c r="E112" s="3"/>
      <c r="H112" s="3"/>
      <c r="I112" s="6"/>
      <c r="J112" s="4"/>
      <c r="K112" s="4"/>
      <c r="L112" s="3"/>
    </row>
    <row r="113" spans="2:13" hidden="1">
      <c r="B113" s="3"/>
      <c r="D113" s="3"/>
      <c r="E113" s="3"/>
      <c r="H113" s="3"/>
      <c r="I113" s="6"/>
      <c r="J113" s="4"/>
      <c r="K113" s="4"/>
      <c r="L113" s="3"/>
    </row>
    <row r="114" spans="2:13" hidden="1">
      <c r="B114" s="3"/>
      <c r="D114" s="3"/>
      <c r="E114" s="3"/>
      <c r="H114" s="3"/>
      <c r="I114" s="6"/>
      <c r="J114" s="4"/>
      <c r="K114" s="4"/>
      <c r="L114" s="3"/>
    </row>
    <row r="115" spans="2:13" hidden="1">
      <c r="B115" s="14"/>
      <c r="D115" s="14"/>
      <c r="E115" s="14"/>
      <c r="H115" s="14"/>
      <c r="I115" s="16"/>
      <c r="J115" s="17"/>
      <c r="K115" s="17"/>
      <c r="L115" s="14"/>
    </row>
    <row r="116" spans="2:13" hidden="1">
      <c r="B116" s="14" t="s">
        <v>39</v>
      </c>
      <c r="C116" t="s">
        <v>40</v>
      </c>
      <c r="D116" s="14" t="s">
        <v>41</v>
      </c>
      <c r="E116" s="14" t="s">
        <v>23</v>
      </c>
      <c r="F116" t="s">
        <v>90</v>
      </c>
      <c r="H116" s="14">
        <v>1</v>
      </c>
      <c r="I116" s="16" t="s">
        <v>234</v>
      </c>
      <c r="J116" s="4">
        <v>46174</v>
      </c>
      <c r="K116" s="17"/>
      <c r="L116" s="14"/>
      <c r="M116" t="s">
        <v>25</v>
      </c>
    </row>
    <row r="117" spans="2:13" hidden="1">
      <c r="B117" s="3" t="s">
        <v>53</v>
      </c>
      <c r="C117" t="s">
        <v>61</v>
      </c>
      <c r="D117" s="3" t="s">
        <v>41</v>
      </c>
      <c r="E117" s="3" t="s">
        <v>23</v>
      </c>
      <c r="F117" t="s">
        <v>62</v>
      </c>
      <c r="H117" s="14">
        <v>1</v>
      </c>
      <c r="I117" s="6" t="s">
        <v>235</v>
      </c>
      <c r="J117" s="4">
        <v>46174</v>
      </c>
      <c r="K117" s="4"/>
      <c r="L117" s="3" t="s">
        <v>236</v>
      </c>
      <c r="M117" t="s">
        <v>16</v>
      </c>
    </row>
    <row r="118" spans="2:13" hidden="1">
      <c r="B118" s="3" t="s">
        <v>64</v>
      </c>
      <c r="C118" t="s">
        <v>61</v>
      </c>
      <c r="D118" s="3" t="s">
        <v>41</v>
      </c>
      <c r="E118" s="3" t="s">
        <v>23</v>
      </c>
      <c r="F118" t="s">
        <v>237</v>
      </c>
      <c r="H118" s="14">
        <v>1</v>
      </c>
      <c r="I118" s="6" t="s">
        <v>235</v>
      </c>
      <c r="J118" s="4">
        <v>46174</v>
      </c>
      <c r="K118" s="4"/>
      <c r="L118" s="3" t="s">
        <v>238</v>
      </c>
      <c r="M118" t="s">
        <v>16</v>
      </c>
    </row>
    <row r="119" spans="2:13" hidden="1">
      <c r="B119" s="3" t="s">
        <v>53</v>
      </c>
      <c r="C119" t="s">
        <v>66</v>
      </c>
      <c r="D119" s="3" t="s">
        <v>41</v>
      </c>
      <c r="E119" s="3" t="s">
        <v>23</v>
      </c>
      <c r="F119" t="s">
        <v>62</v>
      </c>
      <c r="H119" s="14">
        <v>1</v>
      </c>
      <c r="I119" s="6" t="s">
        <v>235</v>
      </c>
      <c r="J119" s="4">
        <v>46174</v>
      </c>
      <c r="K119" s="4"/>
      <c r="L119" s="3" t="s">
        <v>239</v>
      </c>
      <c r="M119" t="s">
        <v>25</v>
      </c>
    </row>
    <row r="120" spans="2:13" hidden="1">
      <c r="B120" s="14" t="s">
        <v>64</v>
      </c>
      <c r="C120" t="s">
        <v>66</v>
      </c>
      <c r="D120" s="14" t="s">
        <v>41</v>
      </c>
      <c r="E120" s="14" t="s">
        <v>23</v>
      </c>
      <c r="F120" t="s">
        <v>237</v>
      </c>
      <c r="H120" s="14">
        <v>1</v>
      </c>
      <c r="I120" s="6" t="s">
        <v>235</v>
      </c>
      <c r="J120" s="4">
        <v>46174</v>
      </c>
      <c r="K120" s="17"/>
      <c r="L120" s="14" t="s">
        <v>240</v>
      </c>
      <c r="M120" t="s">
        <v>16</v>
      </c>
    </row>
    <row r="121" spans="2:13" hidden="1">
      <c r="B121" s="14" t="s">
        <v>58</v>
      </c>
      <c r="C121" t="s">
        <v>66</v>
      </c>
      <c r="D121" s="14" t="s">
        <v>41</v>
      </c>
      <c r="E121" s="14" t="s">
        <v>23</v>
      </c>
      <c r="F121" t="s">
        <v>67</v>
      </c>
      <c r="H121" s="14">
        <v>1</v>
      </c>
      <c r="I121" s="6" t="s">
        <v>235</v>
      </c>
      <c r="J121" s="4">
        <v>46174</v>
      </c>
      <c r="K121" s="17"/>
      <c r="L121" s="14" t="s">
        <v>241</v>
      </c>
      <c r="M121" t="s">
        <v>16</v>
      </c>
    </row>
    <row r="122" spans="2:13" hidden="1">
      <c r="B122" s="14" t="s">
        <v>39</v>
      </c>
      <c r="C122" t="s">
        <v>242</v>
      </c>
      <c r="D122" s="14" t="s">
        <v>41</v>
      </c>
      <c r="E122" s="14" t="s">
        <v>23</v>
      </c>
      <c r="F122" t="s">
        <v>90</v>
      </c>
      <c r="H122" s="14">
        <v>1</v>
      </c>
      <c r="I122" s="16" t="s">
        <v>243</v>
      </c>
      <c r="J122" s="4">
        <v>46174</v>
      </c>
      <c r="K122" s="17"/>
      <c r="L122" s="14"/>
      <c r="M122" t="s">
        <v>25</v>
      </c>
    </row>
    <row r="123" spans="2:13" ht="28.9" hidden="1">
      <c r="B123" s="3" t="s">
        <v>53</v>
      </c>
      <c r="C123" t="s">
        <v>54</v>
      </c>
      <c r="D123" s="3" t="s">
        <v>41</v>
      </c>
      <c r="E123" s="3" t="s">
        <v>23</v>
      </c>
      <c r="F123" t="s">
        <v>62</v>
      </c>
      <c r="H123" s="14">
        <v>1</v>
      </c>
      <c r="I123" s="6" t="s">
        <v>244</v>
      </c>
      <c r="J123" s="4">
        <v>46174</v>
      </c>
      <c r="K123" s="4"/>
      <c r="L123" s="3" t="s">
        <v>245</v>
      </c>
      <c r="M123" t="s">
        <v>25</v>
      </c>
    </row>
    <row r="124" spans="2:13" ht="28.9" hidden="1">
      <c r="B124" s="3" t="s">
        <v>18</v>
      </c>
      <c r="C124" t="s">
        <v>54</v>
      </c>
      <c r="D124" s="3" t="s">
        <v>41</v>
      </c>
      <c r="E124" s="3" t="s">
        <v>23</v>
      </c>
      <c r="F124" t="s">
        <v>67</v>
      </c>
      <c r="H124" s="14">
        <v>1</v>
      </c>
      <c r="I124" s="6" t="s">
        <v>244</v>
      </c>
      <c r="J124" s="4">
        <v>46174</v>
      </c>
      <c r="K124" s="4"/>
      <c r="L124" s="3" t="s">
        <v>246</v>
      </c>
      <c r="M124" t="s">
        <v>16</v>
      </c>
    </row>
    <row r="125" spans="2:13" ht="28.9" hidden="1">
      <c r="B125" s="14" t="s">
        <v>58</v>
      </c>
      <c r="C125" t="s">
        <v>54</v>
      </c>
      <c r="D125" s="14" t="s">
        <v>41</v>
      </c>
      <c r="E125" s="3" t="s">
        <v>23</v>
      </c>
      <c r="F125" t="s">
        <v>67</v>
      </c>
      <c r="H125" s="14">
        <v>1</v>
      </c>
      <c r="I125" s="6" t="s">
        <v>244</v>
      </c>
      <c r="J125" s="4">
        <v>46174</v>
      </c>
      <c r="K125" s="4"/>
      <c r="L125" s="3" t="s">
        <v>246</v>
      </c>
      <c r="M125" t="s">
        <v>16</v>
      </c>
    </row>
    <row r="126" spans="2:13" ht="28.9" hidden="1">
      <c r="B126" s="14" t="s">
        <v>58</v>
      </c>
      <c r="C126" t="s">
        <v>247</v>
      </c>
      <c r="D126" s="14" t="s">
        <v>41</v>
      </c>
      <c r="E126" s="14" t="s">
        <v>14</v>
      </c>
      <c r="F126" t="s">
        <v>150</v>
      </c>
      <c r="H126" s="14">
        <v>3</v>
      </c>
      <c r="I126" s="16" t="s">
        <v>248</v>
      </c>
      <c r="J126" s="4">
        <v>46174</v>
      </c>
      <c r="K126" s="17"/>
      <c r="L126" s="14" t="s">
        <v>249</v>
      </c>
      <c r="M126" t="s">
        <v>16</v>
      </c>
    </row>
    <row r="127" spans="2:13" ht="28.9" hidden="1">
      <c r="B127" s="14" t="s">
        <v>30</v>
      </c>
      <c r="C127" t="s">
        <v>250</v>
      </c>
      <c r="D127" s="14" t="s">
        <v>22</v>
      </c>
      <c r="E127" s="14" t="s">
        <v>14</v>
      </c>
      <c r="F127" t="s">
        <v>150</v>
      </c>
      <c r="H127" s="14">
        <v>4</v>
      </c>
      <c r="I127" s="16" t="s">
        <v>251</v>
      </c>
      <c r="J127" s="4">
        <v>46174</v>
      </c>
      <c r="K127" s="17"/>
      <c r="L127" s="14" t="s">
        <v>252</v>
      </c>
      <c r="M127" t="s">
        <v>16</v>
      </c>
    </row>
    <row r="128" spans="2:13" hidden="1">
      <c r="B128" s="14" t="s">
        <v>64</v>
      </c>
      <c r="C128" t="s">
        <v>54</v>
      </c>
      <c r="D128" s="14" t="s">
        <v>22</v>
      </c>
      <c r="E128" s="14" t="s">
        <v>23</v>
      </c>
      <c r="F128" t="s">
        <v>237</v>
      </c>
      <c r="H128" s="14">
        <v>1</v>
      </c>
      <c r="I128" s="16" t="s">
        <v>253</v>
      </c>
      <c r="J128" s="4">
        <v>46174</v>
      </c>
      <c r="K128" s="17"/>
      <c r="L128" s="14" t="s">
        <v>254</v>
      </c>
      <c r="M128" t="s">
        <v>16</v>
      </c>
    </row>
    <row r="129" spans="2:13" hidden="1">
      <c r="B129" s="14" t="s">
        <v>255</v>
      </c>
      <c r="C129" t="s">
        <v>256</v>
      </c>
      <c r="D129" s="14" t="s">
        <v>22</v>
      </c>
      <c r="E129" s="14" t="s">
        <v>125</v>
      </c>
      <c r="F129" t="s">
        <v>194</v>
      </c>
      <c r="H129" s="14">
        <v>1</v>
      </c>
      <c r="I129" s="16"/>
      <c r="J129" s="17">
        <v>46177</v>
      </c>
      <c r="K129" s="17"/>
      <c r="L129" s="14"/>
      <c r="M129" t="s">
        <v>25</v>
      </c>
    </row>
    <row r="130" spans="2:13" hidden="1">
      <c r="B130" s="14" t="s">
        <v>103</v>
      </c>
      <c r="C130" t="s">
        <v>257</v>
      </c>
      <c r="D130" s="14" t="s">
        <v>22</v>
      </c>
      <c r="E130" s="14" t="s">
        <v>125</v>
      </c>
      <c r="F130" t="s">
        <v>258</v>
      </c>
      <c r="H130" s="14">
        <v>3</v>
      </c>
      <c r="I130" s="16"/>
      <c r="J130" s="17">
        <v>46178</v>
      </c>
      <c r="K130" s="17"/>
      <c r="L130" s="14"/>
      <c r="M130" t="s">
        <v>25</v>
      </c>
    </row>
    <row r="131" spans="2:13" hidden="1">
      <c r="B131" s="14" t="s">
        <v>30</v>
      </c>
      <c r="C131" t="s">
        <v>259</v>
      </c>
      <c r="D131" s="14" t="s">
        <v>22</v>
      </c>
      <c r="E131" s="14" t="s">
        <v>14</v>
      </c>
      <c r="F131" t="s">
        <v>45</v>
      </c>
      <c r="H131" s="14">
        <v>4</v>
      </c>
      <c r="I131" s="16"/>
      <c r="J131" s="17">
        <v>46178</v>
      </c>
      <c r="K131" s="17"/>
      <c r="L131" s="14"/>
      <c r="M131" t="s">
        <v>25</v>
      </c>
    </row>
    <row r="132" spans="2:13" hidden="1">
      <c r="B132" s="14" t="s">
        <v>260</v>
      </c>
      <c r="C132" t="s">
        <v>261</v>
      </c>
      <c r="D132" s="14" t="s">
        <v>22</v>
      </c>
      <c r="E132" s="14" t="s">
        <v>125</v>
      </c>
      <c r="F132" t="s">
        <v>194</v>
      </c>
      <c r="H132" s="14">
        <v>0.5</v>
      </c>
      <c r="I132" s="16"/>
      <c r="J132" s="17">
        <v>46177</v>
      </c>
      <c r="K132" s="17"/>
      <c r="L132" s="14"/>
      <c r="M132" t="s">
        <v>25</v>
      </c>
    </row>
    <row r="133" spans="2:13" hidden="1">
      <c r="B133" s="14" t="s">
        <v>92</v>
      </c>
      <c r="C133" t="s">
        <v>262</v>
      </c>
      <c r="D133" s="14" t="s">
        <v>22</v>
      </c>
      <c r="E133" s="14" t="s">
        <v>14</v>
      </c>
      <c r="F133" t="s">
        <v>150</v>
      </c>
      <c r="H133" s="14">
        <v>6</v>
      </c>
      <c r="I133" s="16"/>
      <c r="J133" s="17">
        <v>46181</v>
      </c>
      <c r="K133" s="17"/>
      <c r="L133" s="14" t="s">
        <v>263</v>
      </c>
      <c r="M133" t="s">
        <v>16</v>
      </c>
    </row>
    <row r="134" spans="2:13" hidden="1">
      <c r="B134" s="14" t="s">
        <v>30</v>
      </c>
      <c r="C134" t="s">
        <v>264</v>
      </c>
      <c r="D134" s="14" t="s">
        <v>22</v>
      </c>
      <c r="E134" s="14" t="s">
        <v>14</v>
      </c>
      <c r="F134" t="s">
        <v>265</v>
      </c>
      <c r="H134" s="14">
        <v>1</v>
      </c>
      <c r="I134" s="16"/>
      <c r="J134" s="17">
        <v>46177</v>
      </c>
      <c r="K134" s="17"/>
      <c r="L134" s="14"/>
      <c r="M134" t="s">
        <v>25</v>
      </c>
    </row>
    <row r="135" spans="2:13" hidden="1">
      <c r="B135" s="14" t="s">
        <v>30</v>
      </c>
      <c r="C135" t="s">
        <v>266</v>
      </c>
      <c r="D135" s="14" t="s">
        <v>22</v>
      </c>
      <c r="E135" s="14" t="s">
        <v>125</v>
      </c>
      <c r="F135" t="s">
        <v>194</v>
      </c>
      <c r="H135" s="14">
        <v>10.5</v>
      </c>
      <c r="I135" s="16"/>
      <c r="J135" s="17">
        <v>46177</v>
      </c>
      <c r="K135" s="17"/>
      <c r="L135" s="14"/>
      <c r="M135" t="s">
        <v>25</v>
      </c>
    </row>
    <row r="136" spans="2:13" hidden="1">
      <c r="B136" s="14" t="s">
        <v>267</v>
      </c>
      <c r="C136" t="s">
        <v>268</v>
      </c>
      <c r="D136" s="14" t="s">
        <v>41</v>
      </c>
      <c r="E136" s="14" t="s">
        <v>14</v>
      </c>
      <c r="F136" t="s">
        <v>265</v>
      </c>
      <c r="H136" s="14">
        <v>3</v>
      </c>
      <c r="I136" s="16"/>
      <c r="J136" s="17">
        <v>46178</v>
      </c>
      <c r="K136" s="17"/>
      <c r="L136" s="14"/>
      <c r="M136" t="s">
        <v>25</v>
      </c>
    </row>
    <row r="137" spans="2:13" hidden="1">
      <c r="B137" s="14" t="s">
        <v>267</v>
      </c>
      <c r="C137" t="s">
        <v>269</v>
      </c>
      <c r="D137" s="14" t="s">
        <v>22</v>
      </c>
      <c r="E137" s="14" t="s">
        <v>14</v>
      </c>
      <c r="F137" t="s">
        <v>265</v>
      </c>
      <c r="H137" s="14">
        <v>0.25</v>
      </c>
      <c r="I137" s="16"/>
      <c r="J137" s="17">
        <v>46177</v>
      </c>
      <c r="K137" s="17"/>
      <c r="L137" s="14"/>
      <c r="M137" t="s">
        <v>25</v>
      </c>
    </row>
    <row r="138" spans="2:13" hidden="1">
      <c r="B138" s="14" t="s">
        <v>30</v>
      </c>
      <c r="C138" t="s">
        <v>270</v>
      </c>
      <c r="D138" s="14" t="s">
        <v>22</v>
      </c>
      <c r="E138" s="14" t="s">
        <v>14</v>
      </c>
      <c r="F138" t="s">
        <v>265</v>
      </c>
      <c r="H138" s="14">
        <v>1</v>
      </c>
      <c r="I138" s="16"/>
      <c r="J138" s="17">
        <v>46177</v>
      </c>
      <c r="K138" s="17"/>
      <c r="L138" s="14"/>
      <c r="M138" t="s">
        <v>25</v>
      </c>
    </row>
    <row r="139" spans="2:13" hidden="1">
      <c r="B139" s="14" t="s">
        <v>30</v>
      </c>
      <c r="C139" t="s">
        <v>271</v>
      </c>
      <c r="D139" s="14" t="s">
        <v>22</v>
      </c>
      <c r="E139" s="14" t="s">
        <v>14</v>
      </c>
      <c r="F139" t="s">
        <v>265</v>
      </c>
      <c r="H139" s="14">
        <v>3</v>
      </c>
      <c r="I139" s="16"/>
      <c r="J139" s="17">
        <v>46177</v>
      </c>
      <c r="K139" s="17"/>
      <c r="L139" s="14"/>
      <c r="M139" t="s">
        <v>25</v>
      </c>
    </row>
    <row r="140" spans="2:13" hidden="1">
      <c r="B140" s="14" t="s">
        <v>267</v>
      </c>
      <c r="C140" t="s">
        <v>272</v>
      </c>
      <c r="D140" s="14" t="s">
        <v>22</v>
      </c>
      <c r="E140" s="14" t="s">
        <v>14</v>
      </c>
      <c r="F140" t="s">
        <v>265</v>
      </c>
      <c r="H140" s="14">
        <v>1.5</v>
      </c>
      <c r="I140" s="16"/>
      <c r="J140" s="17">
        <v>46177</v>
      </c>
      <c r="K140" s="17"/>
      <c r="L140" s="14"/>
      <c r="M140" t="s">
        <v>25</v>
      </c>
    </row>
    <row r="141" spans="2:13" hidden="1">
      <c r="B141" s="14" t="s">
        <v>30</v>
      </c>
      <c r="C141" t="s">
        <v>273</v>
      </c>
      <c r="D141" s="14" t="s">
        <v>22</v>
      </c>
      <c r="E141" s="14" t="s">
        <v>14</v>
      </c>
      <c r="F141" t="s">
        <v>265</v>
      </c>
      <c r="H141" s="14">
        <v>1</v>
      </c>
      <c r="I141" s="16"/>
      <c r="J141" s="17">
        <v>46177</v>
      </c>
      <c r="K141" s="17"/>
      <c r="L141" s="14"/>
      <c r="M141" t="s">
        <v>25</v>
      </c>
    </row>
    <row r="142" spans="2:13" hidden="1">
      <c r="B142" s="14" t="s">
        <v>30</v>
      </c>
      <c r="C142" t="s">
        <v>274</v>
      </c>
      <c r="D142" s="14" t="s">
        <v>22</v>
      </c>
      <c r="E142" s="14" t="s">
        <v>14</v>
      </c>
      <c r="F142" t="s">
        <v>45</v>
      </c>
      <c r="H142" s="14">
        <v>2</v>
      </c>
      <c r="I142" s="16"/>
      <c r="J142" s="17">
        <v>46178</v>
      </c>
      <c r="K142" s="17"/>
      <c r="L142" s="14"/>
      <c r="M142" t="s">
        <v>25</v>
      </c>
    </row>
    <row r="143" spans="2:13" hidden="1">
      <c r="B143" s="14" t="s">
        <v>30</v>
      </c>
      <c r="C143" t="s">
        <v>275</v>
      </c>
      <c r="D143" s="14" t="s">
        <v>22</v>
      </c>
      <c r="E143" s="14" t="s">
        <v>14</v>
      </c>
      <c r="F143" t="s">
        <v>265</v>
      </c>
      <c r="H143" s="14">
        <v>3</v>
      </c>
      <c r="I143" s="16"/>
      <c r="J143" s="17">
        <v>46178</v>
      </c>
      <c r="K143" s="17"/>
      <c r="L143" s="14"/>
      <c r="M143" t="s">
        <v>25</v>
      </c>
    </row>
    <row r="144" spans="2:13" hidden="1">
      <c r="B144" s="14" t="s">
        <v>103</v>
      </c>
      <c r="C144" t="s">
        <v>276</v>
      </c>
      <c r="D144" s="14" t="s">
        <v>22</v>
      </c>
      <c r="E144" s="14" t="s">
        <v>14</v>
      </c>
      <c r="F144" t="s">
        <v>265</v>
      </c>
      <c r="H144" s="14">
        <v>0.2</v>
      </c>
      <c r="I144" s="16"/>
      <c r="J144" s="17">
        <v>46178</v>
      </c>
      <c r="K144" s="17"/>
      <c r="L144" s="14"/>
      <c r="M144" t="s">
        <v>25</v>
      </c>
    </row>
    <row r="145" spans="2:13" hidden="1">
      <c r="B145" s="14" t="s">
        <v>103</v>
      </c>
      <c r="C145" t="s">
        <v>277</v>
      </c>
      <c r="D145" s="14" t="s">
        <v>22</v>
      </c>
      <c r="E145" s="14" t="s">
        <v>14</v>
      </c>
      <c r="F145" t="s">
        <v>45</v>
      </c>
      <c r="H145" s="14">
        <v>1</v>
      </c>
      <c r="I145" s="16"/>
      <c r="J145" s="17">
        <v>46178</v>
      </c>
      <c r="K145" s="17"/>
      <c r="L145" s="14"/>
      <c r="M145" t="s">
        <v>25</v>
      </c>
    </row>
    <row r="146" spans="2:13" hidden="1">
      <c r="B146" s="14" t="s">
        <v>278</v>
      </c>
      <c r="C146" t="s">
        <v>279</v>
      </c>
      <c r="D146" s="14" t="s">
        <v>22</v>
      </c>
      <c r="E146" s="14" t="s">
        <v>14</v>
      </c>
      <c r="F146" t="s">
        <v>265</v>
      </c>
      <c r="H146" s="14">
        <v>0.15</v>
      </c>
      <c r="I146" s="16"/>
      <c r="J146" s="17">
        <v>46178</v>
      </c>
      <c r="K146" s="17"/>
      <c r="L146" s="14"/>
      <c r="M146" t="s">
        <v>25</v>
      </c>
    </row>
    <row r="147" spans="2:13" hidden="1">
      <c r="B147" s="14" t="s">
        <v>267</v>
      </c>
      <c r="C147" t="s">
        <v>280</v>
      </c>
      <c r="D147" s="14" t="s">
        <v>41</v>
      </c>
      <c r="E147" s="14" t="s">
        <v>14</v>
      </c>
      <c r="F147" t="s">
        <v>265</v>
      </c>
      <c r="H147" s="14">
        <v>1</v>
      </c>
      <c r="I147" s="16"/>
      <c r="J147" s="17">
        <v>46181</v>
      </c>
      <c r="K147" s="17"/>
      <c r="L147" s="14" t="s">
        <v>281</v>
      </c>
      <c r="M147" t="s">
        <v>16</v>
      </c>
    </row>
    <row r="148" spans="2:13" hidden="1">
      <c r="B148" s="14" t="s">
        <v>267</v>
      </c>
      <c r="C148" t="s">
        <v>282</v>
      </c>
      <c r="D148" s="14" t="s">
        <v>22</v>
      </c>
      <c r="E148" s="14" t="s">
        <v>14</v>
      </c>
      <c r="F148" t="s">
        <v>265</v>
      </c>
      <c r="H148" s="14">
        <v>3</v>
      </c>
      <c r="I148" s="16"/>
      <c r="J148" s="17">
        <v>46181</v>
      </c>
      <c r="K148" s="17"/>
      <c r="L148" s="14" t="s">
        <v>283</v>
      </c>
      <c r="M148" t="s">
        <v>25</v>
      </c>
    </row>
    <row r="149" spans="2:13" hidden="1">
      <c r="B149" s="14" t="s">
        <v>53</v>
      </c>
      <c r="C149" t="s">
        <v>284</v>
      </c>
      <c r="D149" s="14" t="s">
        <v>22</v>
      </c>
      <c r="E149" s="14" t="s">
        <v>14</v>
      </c>
      <c r="F149" t="s">
        <v>265</v>
      </c>
      <c r="H149" s="14">
        <v>2</v>
      </c>
      <c r="I149" s="16"/>
      <c r="J149" s="17">
        <v>46181</v>
      </c>
      <c r="K149" s="17"/>
      <c r="L149" s="14" t="s">
        <v>285</v>
      </c>
      <c r="M149" t="s">
        <v>16</v>
      </c>
    </row>
    <row r="150" spans="2:13" hidden="1">
      <c r="B150" s="14" t="s">
        <v>30</v>
      </c>
      <c r="C150" t="s">
        <v>286</v>
      </c>
      <c r="D150" s="14" t="s">
        <v>22</v>
      </c>
      <c r="E150" s="14" t="s">
        <v>14</v>
      </c>
      <c r="F150" t="s">
        <v>45</v>
      </c>
      <c r="H150" s="14">
        <v>2</v>
      </c>
      <c r="I150" s="16"/>
      <c r="J150" s="17">
        <v>46181</v>
      </c>
      <c r="K150" s="17"/>
      <c r="L150" s="14"/>
      <c r="M150" t="s">
        <v>25</v>
      </c>
    </row>
    <row r="151" spans="2:13" hidden="1">
      <c r="B151" s="14" t="s">
        <v>30</v>
      </c>
      <c r="C151" t="s">
        <v>287</v>
      </c>
      <c r="D151" s="14" t="s">
        <v>22</v>
      </c>
      <c r="E151" s="14" t="s">
        <v>125</v>
      </c>
      <c r="F151" t="s">
        <v>194</v>
      </c>
      <c r="H151" s="14">
        <v>6</v>
      </c>
      <c r="I151" s="16"/>
      <c r="J151" s="17">
        <v>46181</v>
      </c>
      <c r="K151" s="17"/>
      <c r="L151" s="14"/>
      <c r="M151" t="s">
        <v>25</v>
      </c>
    </row>
    <row r="152" spans="2:13" hidden="1">
      <c r="B152" s="14" t="s">
        <v>92</v>
      </c>
      <c r="C152" t="s">
        <v>288</v>
      </c>
      <c r="D152" s="14" t="s">
        <v>22</v>
      </c>
      <c r="E152" s="14" t="s">
        <v>125</v>
      </c>
      <c r="F152" t="s">
        <v>154</v>
      </c>
      <c r="H152" s="14">
        <v>1.5</v>
      </c>
      <c r="I152" s="16"/>
      <c r="J152" s="17">
        <v>46181</v>
      </c>
      <c r="K152" s="17"/>
      <c r="L152" s="14" t="s">
        <v>289</v>
      </c>
      <c r="M152" t="s">
        <v>16</v>
      </c>
    </row>
    <row r="153" spans="2:13" hidden="1">
      <c r="B153" s="14" t="s">
        <v>48</v>
      </c>
      <c r="C153" t="s">
        <v>290</v>
      </c>
      <c r="D153" s="14" t="s">
        <v>22</v>
      </c>
      <c r="E153" s="14" t="s">
        <v>125</v>
      </c>
      <c r="F153" t="s">
        <v>154</v>
      </c>
      <c r="H153" s="14">
        <v>1</v>
      </c>
      <c r="I153" s="16"/>
      <c r="J153" s="17">
        <v>46181</v>
      </c>
      <c r="K153" s="17"/>
      <c r="L153" s="14" t="s">
        <v>291</v>
      </c>
      <c r="M153" t="s">
        <v>16</v>
      </c>
    </row>
    <row r="154" spans="2:13" hidden="1">
      <c r="B154" s="14" t="s">
        <v>12</v>
      </c>
      <c r="C154" t="s">
        <v>292</v>
      </c>
      <c r="D154" s="14" t="s">
        <v>22</v>
      </c>
      <c r="E154" s="14" t="s">
        <v>125</v>
      </c>
      <c r="F154" t="s">
        <v>154</v>
      </c>
      <c r="H154" s="14">
        <v>4</v>
      </c>
      <c r="I154" s="16"/>
      <c r="J154" s="17">
        <v>46181</v>
      </c>
      <c r="K154" s="17"/>
      <c r="L154" s="14"/>
      <c r="M154" t="s">
        <v>25</v>
      </c>
    </row>
    <row r="155" spans="2:13" hidden="1">
      <c r="B155" s="14" t="s">
        <v>12</v>
      </c>
      <c r="C155" t="s">
        <v>293</v>
      </c>
      <c r="D155" s="14" t="s">
        <v>22</v>
      </c>
      <c r="E155" s="14" t="s">
        <v>23</v>
      </c>
      <c r="F155" t="s">
        <v>24</v>
      </c>
      <c r="H155" s="14">
        <v>3</v>
      </c>
      <c r="I155" s="16"/>
      <c r="J155" s="17">
        <v>46181</v>
      </c>
      <c r="K155" s="17"/>
      <c r="L155" s="14" t="s">
        <v>294</v>
      </c>
      <c r="M155" t="s">
        <v>25</v>
      </c>
    </row>
    <row r="156" spans="2:13" hidden="1">
      <c r="B156" s="14" t="s">
        <v>12</v>
      </c>
      <c r="C156" t="s">
        <v>295</v>
      </c>
      <c r="D156" s="14" t="s">
        <v>22</v>
      </c>
      <c r="E156" s="14" t="s">
        <v>23</v>
      </c>
      <c r="F156" t="s">
        <v>24</v>
      </c>
      <c r="H156" s="14">
        <v>3</v>
      </c>
      <c r="I156" s="16"/>
      <c r="J156" s="17">
        <v>46181</v>
      </c>
      <c r="K156" s="17"/>
      <c r="L156" s="14" t="s">
        <v>296</v>
      </c>
      <c r="M156" t="s">
        <v>25</v>
      </c>
    </row>
    <row r="157" spans="2:13" hidden="1">
      <c r="B157" s="14" t="s">
        <v>53</v>
      </c>
      <c r="C157" t="s">
        <v>297</v>
      </c>
      <c r="D157" s="14" t="s">
        <v>41</v>
      </c>
      <c r="E157" s="14" t="s">
        <v>23</v>
      </c>
      <c r="F157" t="s">
        <v>62</v>
      </c>
      <c r="H157" s="14">
        <v>2</v>
      </c>
      <c r="I157" s="16"/>
      <c r="J157" s="17">
        <v>46181</v>
      </c>
      <c r="K157" s="17"/>
      <c r="L157" s="14" t="s">
        <v>298</v>
      </c>
      <c r="M157" t="s">
        <v>16</v>
      </c>
    </row>
    <row r="158" spans="2:13" hidden="1">
      <c r="B158" s="14" t="s">
        <v>82</v>
      </c>
      <c r="C158" t="s">
        <v>297</v>
      </c>
      <c r="D158" s="14" t="s">
        <v>41</v>
      </c>
      <c r="E158" s="14" t="s">
        <v>23</v>
      </c>
      <c r="F158" t="s">
        <v>299</v>
      </c>
      <c r="H158" s="14">
        <v>2</v>
      </c>
      <c r="I158" s="16"/>
      <c r="J158" s="17">
        <v>46181</v>
      </c>
      <c r="K158" s="17"/>
      <c r="L158" s="14" t="s">
        <v>300</v>
      </c>
      <c r="M158" t="s">
        <v>16</v>
      </c>
    </row>
    <row r="159" spans="2:13" hidden="1">
      <c r="B159" s="14" t="s">
        <v>64</v>
      </c>
      <c r="C159" t="s">
        <v>297</v>
      </c>
      <c r="D159" s="14" t="s">
        <v>41</v>
      </c>
      <c r="E159" s="14" t="s">
        <v>23</v>
      </c>
      <c r="F159" t="s">
        <v>301</v>
      </c>
      <c r="H159" s="14">
        <v>2</v>
      </c>
      <c r="I159" s="16"/>
      <c r="J159" s="17">
        <v>46181</v>
      </c>
      <c r="K159" s="17"/>
      <c r="L159" s="14"/>
      <c r="M159" t="s">
        <v>25</v>
      </c>
    </row>
    <row r="160" spans="2:13" hidden="1">
      <c r="B160" s="3" t="s">
        <v>53</v>
      </c>
      <c r="C160" t="s">
        <v>302</v>
      </c>
      <c r="D160" s="14" t="s">
        <v>41</v>
      </c>
      <c r="E160" s="14" t="s">
        <v>23</v>
      </c>
      <c r="F160" t="s">
        <v>62</v>
      </c>
      <c r="H160" s="3">
        <v>1</v>
      </c>
      <c r="I160" s="6"/>
      <c r="J160" s="17">
        <v>46181</v>
      </c>
      <c r="K160" s="17"/>
      <c r="L160" s="3" t="s">
        <v>303</v>
      </c>
      <c r="M160" t="s">
        <v>16</v>
      </c>
    </row>
    <row r="161" spans="2:13" hidden="1">
      <c r="B161" s="3" t="s">
        <v>82</v>
      </c>
      <c r="C161" t="s">
        <v>302</v>
      </c>
      <c r="D161" s="14" t="s">
        <v>41</v>
      </c>
      <c r="E161" s="14" t="s">
        <v>23</v>
      </c>
      <c r="F161" t="s">
        <v>299</v>
      </c>
      <c r="H161" s="3">
        <v>1</v>
      </c>
      <c r="I161" s="6"/>
      <c r="J161" s="17">
        <v>46181</v>
      </c>
      <c r="K161" s="17"/>
      <c r="L161" s="3" t="s">
        <v>304</v>
      </c>
      <c r="M161" t="s">
        <v>16</v>
      </c>
    </row>
    <row r="162" spans="2:13" hidden="1">
      <c r="B162" s="14" t="s">
        <v>64</v>
      </c>
      <c r="C162" t="s">
        <v>302</v>
      </c>
      <c r="D162" s="14" t="s">
        <v>41</v>
      </c>
      <c r="E162" s="14" t="s">
        <v>23</v>
      </c>
      <c r="F162" t="s">
        <v>301</v>
      </c>
      <c r="H162" s="14">
        <v>1</v>
      </c>
      <c r="I162" s="16"/>
      <c r="J162" s="17">
        <v>46181</v>
      </c>
      <c r="K162" s="17"/>
      <c r="L162" s="14"/>
      <c r="M162" t="s">
        <v>25</v>
      </c>
    </row>
    <row r="163" spans="2:13" hidden="1">
      <c r="B163" s="14" t="s">
        <v>58</v>
      </c>
      <c r="C163" t="s">
        <v>302</v>
      </c>
      <c r="D163" s="14" t="s">
        <v>41</v>
      </c>
      <c r="E163" s="14" t="s">
        <v>23</v>
      </c>
      <c r="F163" t="s">
        <v>192</v>
      </c>
      <c r="H163" s="14">
        <v>1</v>
      </c>
      <c r="I163" s="16"/>
      <c r="J163" s="17">
        <v>46181</v>
      </c>
      <c r="K163" s="17"/>
      <c r="L163" s="14" t="s">
        <v>305</v>
      </c>
      <c r="M163" t="s">
        <v>16</v>
      </c>
    </row>
    <row r="164" spans="2:13" hidden="1">
      <c r="B164" s="14" t="s">
        <v>306</v>
      </c>
      <c r="C164" t="s">
        <v>302</v>
      </c>
      <c r="D164" s="14" t="s">
        <v>41</v>
      </c>
      <c r="E164" s="14" t="s">
        <v>23</v>
      </c>
      <c r="F164" t="s">
        <v>192</v>
      </c>
      <c r="H164" s="14">
        <v>1</v>
      </c>
      <c r="I164" s="16"/>
      <c r="J164" s="17">
        <v>46181</v>
      </c>
      <c r="K164" s="17"/>
      <c r="L164" s="14" t="s">
        <v>307</v>
      </c>
      <c r="M164" t="s">
        <v>16</v>
      </c>
    </row>
    <row r="165" spans="2:13" hidden="1">
      <c r="B165" s="14" t="s">
        <v>58</v>
      </c>
      <c r="C165" t="s">
        <v>308</v>
      </c>
      <c r="D165" s="14" t="s">
        <v>41</v>
      </c>
      <c r="E165" s="14" t="s">
        <v>23</v>
      </c>
      <c r="F165" t="s">
        <v>69</v>
      </c>
      <c r="H165" s="14">
        <v>1</v>
      </c>
      <c r="I165" s="16"/>
      <c r="J165" s="17">
        <v>46181</v>
      </c>
      <c r="K165" s="17"/>
      <c r="L165" s="14" t="s">
        <v>309</v>
      </c>
      <c r="M165" t="s">
        <v>16</v>
      </c>
    </row>
    <row r="166" spans="2:13" hidden="1">
      <c r="B166" s="14" t="s">
        <v>306</v>
      </c>
      <c r="C166" t="s">
        <v>308</v>
      </c>
      <c r="D166" s="14" t="s">
        <v>41</v>
      </c>
      <c r="E166" s="14" t="s">
        <v>23</v>
      </c>
      <c r="F166" t="s">
        <v>69</v>
      </c>
      <c r="H166" s="14">
        <v>1</v>
      </c>
      <c r="I166" s="16"/>
      <c r="J166" s="17">
        <v>46181</v>
      </c>
      <c r="K166" s="17"/>
      <c r="L166" s="3" t="s">
        <v>310</v>
      </c>
      <c r="M166" t="s">
        <v>16</v>
      </c>
    </row>
    <row r="167" spans="2:13" hidden="1">
      <c r="B167" s="14" t="s">
        <v>39</v>
      </c>
      <c r="C167" t="s">
        <v>242</v>
      </c>
      <c r="D167" s="14" t="s">
        <v>41</v>
      </c>
      <c r="E167" s="14" t="s">
        <v>23</v>
      </c>
      <c r="F167" t="s">
        <v>311</v>
      </c>
      <c r="H167" s="14">
        <v>1</v>
      </c>
      <c r="I167" s="16"/>
      <c r="J167" s="17">
        <v>46181</v>
      </c>
      <c r="K167" s="17"/>
      <c r="L167" s="14" t="s">
        <v>102</v>
      </c>
      <c r="M167" t="s">
        <v>16</v>
      </c>
    </row>
    <row r="168" spans="2:13" hidden="1">
      <c r="B168" s="14" t="s">
        <v>39</v>
      </c>
      <c r="C168" t="s">
        <v>312</v>
      </c>
      <c r="D168" s="14" t="s">
        <v>41</v>
      </c>
      <c r="E168" s="14" t="s">
        <v>23</v>
      </c>
      <c r="F168" t="s">
        <v>311</v>
      </c>
      <c r="H168" s="14">
        <v>4</v>
      </c>
      <c r="I168" s="6"/>
      <c r="J168" s="17">
        <v>46181</v>
      </c>
      <c r="K168" s="17"/>
      <c r="L168" s="14" t="s">
        <v>313</v>
      </c>
      <c r="M168" t="s">
        <v>25</v>
      </c>
    </row>
    <row r="169" spans="2:13" hidden="1">
      <c r="B169" s="14" t="s">
        <v>39</v>
      </c>
      <c r="C169" t="s">
        <v>314</v>
      </c>
      <c r="D169" s="14" t="s">
        <v>22</v>
      </c>
      <c r="E169" s="14" t="s">
        <v>125</v>
      </c>
      <c r="H169" s="14">
        <v>3</v>
      </c>
      <c r="I169" s="6" t="s">
        <v>315</v>
      </c>
      <c r="J169" s="17">
        <v>46186</v>
      </c>
      <c r="K169" s="17"/>
      <c r="L169" s="14"/>
      <c r="M169" t="s">
        <v>16</v>
      </c>
    </row>
    <row r="170" spans="2:13" hidden="1">
      <c r="B170" s="14" t="s">
        <v>12</v>
      </c>
      <c r="C170" t="s">
        <v>316</v>
      </c>
      <c r="D170" s="14" t="s">
        <v>22</v>
      </c>
      <c r="E170" s="14" t="s">
        <v>23</v>
      </c>
      <c r="F170" t="s">
        <v>75</v>
      </c>
      <c r="H170" s="14">
        <v>6</v>
      </c>
      <c r="I170" s="16" t="s">
        <v>317</v>
      </c>
      <c r="J170" s="17">
        <v>46195</v>
      </c>
      <c r="K170" s="17"/>
      <c r="L170" s="14" t="s">
        <v>318</v>
      </c>
      <c r="M170" t="s">
        <v>319</v>
      </c>
    </row>
    <row r="171" spans="2:13" hidden="1">
      <c r="B171" s="14" t="s">
        <v>30</v>
      </c>
      <c r="C171" t="s">
        <v>320</v>
      </c>
      <c r="D171" s="14" t="s">
        <v>22</v>
      </c>
      <c r="E171" s="14" t="s">
        <v>14</v>
      </c>
      <c r="F171" t="s">
        <v>265</v>
      </c>
      <c r="H171" s="14">
        <v>6</v>
      </c>
      <c r="I171" s="16" t="s">
        <v>34</v>
      </c>
      <c r="J171" s="17">
        <v>46195</v>
      </c>
      <c r="K171" s="17"/>
      <c r="L171" s="14" t="s">
        <v>321</v>
      </c>
      <c r="M171" t="s">
        <v>25</v>
      </c>
    </row>
    <row r="172" spans="2:13" hidden="1">
      <c r="B172" s="14" t="s">
        <v>30</v>
      </c>
      <c r="C172" t="s">
        <v>322</v>
      </c>
      <c r="D172" s="14" t="s">
        <v>22</v>
      </c>
      <c r="E172" s="14" t="s">
        <v>14</v>
      </c>
      <c r="F172" t="s">
        <v>265</v>
      </c>
      <c r="H172" s="14">
        <v>6</v>
      </c>
      <c r="I172" s="16" t="s">
        <v>323</v>
      </c>
      <c r="J172" s="17">
        <v>46195</v>
      </c>
      <c r="K172" s="17"/>
      <c r="L172" s="14"/>
      <c r="M172" t="s">
        <v>25</v>
      </c>
    </row>
    <row r="173" spans="2:13" hidden="1">
      <c r="B173" s="14" t="s">
        <v>92</v>
      </c>
      <c r="C173" t="s">
        <v>324</v>
      </c>
      <c r="D173" s="14" t="s">
        <v>22</v>
      </c>
      <c r="E173" s="14" t="s">
        <v>14</v>
      </c>
      <c r="H173" s="14">
        <v>5</v>
      </c>
      <c r="I173" s="16"/>
      <c r="J173" s="17">
        <v>46186</v>
      </c>
      <c r="K173" s="17"/>
      <c r="L173" s="14"/>
      <c r="M173" t="s">
        <v>16</v>
      </c>
    </row>
    <row r="174" spans="2:13" hidden="1">
      <c r="B174" s="14" t="s">
        <v>92</v>
      </c>
      <c r="C174" t="s">
        <v>325</v>
      </c>
      <c r="D174" s="14" t="s">
        <v>22</v>
      </c>
      <c r="E174" s="14" t="s">
        <v>14</v>
      </c>
      <c r="H174" s="14">
        <v>3</v>
      </c>
      <c r="I174" s="16"/>
      <c r="J174" s="17">
        <v>46195</v>
      </c>
      <c r="K174" s="17"/>
      <c r="L174" s="14"/>
      <c r="M174" t="s">
        <v>25</v>
      </c>
    </row>
    <row r="175" spans="2:13" hidden="1">
      <c r="B175" s="14" t="s">
        <v>326</v>
      </c>
      <c r="C175" t="s">
        <v>327</v>
      </c>
      <c r="D175" s="14" t="s">
        <v>22</v>
      </c>
      <c r="E175" s="14" t="s">
        <v>14</v>
      </c>
      <c r="F175" t="s">
        <v>265</v>
      </c>
      <c r="H175" s="14">
        <v>2</v>
      </c>
      <c r="I175" s="16"/>
      <c r="J175" s="17">
        <v>46195</v>
      </c>
      <c r="K175" s="17"/>
      <c r="L175" s="14"/>
      <c r="M175" t="s">
        <v>25</v>
      </c>
    </row>
    <row r="176" spans="2:13" hidden="1">
      <c r="B176" s="14" t="s">
        <v>12</v>
      </c>
      <c r="C176" t="s">
        <v>328</v>
      </c>
      <c r="D176" s="14" t="s">
        <v>22</v>
      </c>
      <c r="E176" s="14" t="s">
        <v>23</v>
      </c>
      <c r="F176" t="s">
        <v>75</v>
      </c>
      <c r="H176" s="14">
        <v>4</v>
      </c>
      <c r="I176" s="16"/>
      <c r="J176" s="17">
        <v>46195</v>
      </c>
      <c r="K176" s="17"/>
      <c r="L176" s="14" t="s">
        <v>329</v>
      </c>
      <c r="M176" t="s">
        <v>16</v>
      </c>
    </row>
    <row r="177" spans="2:13" hidden="1">
      <c r="B177" s="14" t="s">
        <v>12</v>
      </c>
      <c r="C177" t="s">
        <v>330</v>
      </c>
      <c r="D177" s="14" t="s">
        <v>22</v>
      </c>
      <c r="E177" s="14" t="s">
        <v>14</v>
      </c>
      <c r="F177" t="s">
        <v>265</v>
      </c>
      <c r="H177" s="14">
        <v>1</v>
      </c>
      <c r="I177" s="16"/>
      <c r="J177" s="17">
        <v>46195</v>
      </c>
      <c r="K177" s="17"/>
      <c r="L177" s="14"/>
      <c r="M177" t="s">
        <v>25</v>
      </c>
    </row>
    <row r="178" spans="2:13" hidden="1">
      <c r="B178" s="14" t="s">
        <v>39</v>
      </c>
      <c r="C178" t="s">
        <v>331</v>
      </c>
      <c r="D178" s="14" t="s">
        <v>22</v>
      </c>
      <c r="E178" s="14" t="s">
        <v>14</v>
      </c>
      <c r="F178" t="s">
        <v>126</v>
      </c>
      <c r="H178" s="28" t="s">
        <v>332</v>
      </c>
      <c r="I178" s="16"/>
      <c r="J178" s="17">
        <v>46195</v>
      </c>
      <c r="K178" s="17"/>
      <c r="L178" s="14" t="s">
        <v>333</v>
      </c>
      <c r="M178" t="s">
        <v>16</v>
      </c>
    </row>
    <row r="179" spans="2:13" hidden="1">
      <c r="B179" s="14" t="s">
        <v>103</v>
      </c>
      <c r="C179" t="s">
        <v>334</v>
      </c>
      <c r="D179" s="14" t="s">
        <v>22</v>
      </c>
      <c r="E179" s="14" t="s">
        <v>14</v>
      </c>
      <c r="F179" t="s">
        <v>119</v>
      </c>
      <c r="H179" s="14">
        <v>1</v>
      </c>
      <c r="I179" s="16"/>
      <c r="J179" s="17">
        <v>46195</v>
      </c>
      <c r="K179" s="17"/>
      <c r="L179" s="14" t="s">
        <v>335</v>
      </c>
      <c r="M179" t="s">
        <v>16</v>
      </c>
    </row>
    <row r="180" spans="2:13" hidden="1">
      <c r="B180" s="14" t="s">
        <v>39</v>
      </c>
      <c r="C180" t="s">
        <v>336</v>
      </c>
      <c r="D180" s="14" t="s">
        <v>22</v>
      </c>
      <c r="E180" s="14" t="s">
        <v>337</v>
      </c>
      <c r="F180" t="s">
        <v>119</v>
      </c>
      <c r="H180" s="14">
        <v>2</v>
      </c>
      <c r="I180" s="16"/>
      <c r="J180" s="17">
        <v>46195</v>
      </c>
      <c r="K180" s="17"/>
      <c r="L180" s="14"/>
      <c r="M180" t="s">
        <v>25</v>
      </c>
    </row>
    <row r="181" spans="2:13" hidden="1">
      <c r="B181" s="14" t="s">
        <v>92</v>
      </c>
      <c r="C181" t="s">
        <v>338</v>
      </c>
      <c r="D181" s="14" t="s">
        <v>22</v>
      </c>
      <c r="E181" s="14" t="s">
        <v>14</v>
      </c>
      <c r="F181" t="s">
        <v>150</v>
      </c>
      <c r="H181" s="14">
        <v>2</v>
      </c>
      <c r="I181" s="16"/>
      <c r="J181" s="17">
        <v>46195</v>
      </c>
      <c r="K181" s="17"/>
      <c r="L181" s="14"/>
      <c r="M181" t="s">
        <v>25</v>
      </c>
    </row>
    <row r="182" spans="2:13" hidden="1">
      <c r="B182" s="14" t="s">
        <v>12</v>
      </c>
      <c r="C182" t="s">
        <v>339</v>
      </c>
      <c r="D182" s="14" t="s">
        <v>41</v>
      </c>
      <c r="E182" s="14" t="s">
        <v>125</v>
      </c>
      <c r="F182" t="s">
        <v>154</v>
      </c>
      <c r="H182" s="14">
        <v>2</v>
      </c>
      <c r="I182" s="16"/>
      <c r="J182" s="17">
        <v>46195</v>
      </c>
      <c r="K182" s="17"/>
      <c r="L182" s="14" t="s">
        <v>340</v>
      </c>
      <c r="M182" t="s">
        <v>16</v>
      </c>
    </row>
    <row r="183" spans="2:13" hidden="1">
      <c r="B183" s="14" t="s">
        <v>326</v>
      </c>
      <c r="C183" t="s">
        <v>341</v>
      </c>
      <c r="D183" s="14" t="s">
        <v>41</v>
      </c>
      <c r="E183" s="14" t="s">
        <v>23</v>
      </c>
      <c r="F183" t="s">
        <v>62</v>
      </c>
      <c r="H183" s="14">
        <v>2</v>
      </c>
      <c r="I183" s="16"/>
      <c r="J183" s="17">
        <v>46195</v>
      </c>
      <c r="K183" s="17"/>
      <c r="L183" s="14" t="s">
        <v>342</v>
      </c>
      <c r="M183" t="s">
        <v>16</v>
      </c>
    </row>
    <row r="184" spans="2:13" hidden="1">
      <c r="B184" s="14" t="s">
        <v>326</v>
      </c>
      <c r="C184" t="s">
        <v>343</v>
      </c>
      <c r="D184" s="14" t="s">
        <v>41</v>
      </c>
      <c r="E184" s="14" t="s">
        <v>23</v>
      </c>
      <c r="F184" t="s">
        <v>62</v>
      </c>
      <c r="H184" s="14">
        <v>2</v>
      </c>
      <c r="I184" s="16"/>
      <c r="J184" s="17">
        <v>46195</v>
      </c>
      <c r="K184" s="17"/>
      <c r="L184" s="14" t="s">
        <v>344</v>
      </c>
      <c r="M184" t="s">
        <v>16</v>
      </c>
    </row>
    <row r="185" spans="2:13" hidden="1">
      <c r="B185" s="3" t="s">
        <v>306</v>
      </c>
      <c r="C185" t="s">
        <v>343</v>
      </c>
      <c r="D185" s="3" t="s">
        <v>41</v>
      </c>
      <c r="E185" s="3" t="s">
        <v>23</v>
      </c>
      <c r="F185" t="s">
        <v>69</v>
      </c>
      <c r="H185" s="3">
        <v>2</v>
      </c>
      <c r="I185" s="6"/>
      <c r="J185" s="17">
        <v>46195</v>
      </c>
      <c r="K185" s="17"/>
      <c r="L185" s="3"/>
      <c r="M185" t="s">
        <v>25</v>
      </c>
    </row>
    <row r="186" spans="2:13" hidden="1">
      <c r="B186" s="3" t="s">
        <v>306</v>
      </c>
      <c r="C186" t="s">
        <v>345</v>
      </c>
      <c r="D186" s="3" t="s">
        <v>41</v>
      </c>
      <c r="E186" s="3" t="s">
        <v>23</v>
      </c>
      <c r="F186" t="s">
        <v>69</v>
      </c>
      <c r="H186" s="3">
        <v>2</v>
      </c>
      <c r="I186" s="6"/>
      <c r="J186" s="17">
        <v>46195</v>
      </c>
      <c r="K186" s="17"/>
      <c r="L186" s="3"/>
      <c r="M186" t="s">
        <v>25</v>
      </c>
    </row>
    <row r="187" spans="2:13" hidden="1">
      <c r="B187" s="3" t="s">
        <v>306</v>
      </c>
      <c r="C187" t="s">
        <v>346</v>
      </c>
      <c r="D187" s="3" t="s">
        <v>41</v>
      </c>
      <c r="E187" s="3" t="s">
        <v>23</v>
      </c>
      <c r="F187" t="s">
        <v>69</v>
      </c>
      <c r="H187" s="3">
        <v>2</v>
      </c>
      <c r="I187" s="6"/>
      <c r="J187" s="17">
        <v>46195</v>
      </c>
      <c r="K187" s="17"/>
      <c r="L187" s="3"/>
      <c r="M187" t="s">
        <v>25</v>
      </c>
    </row>
    <row r="188" spans="2:13" ht="57.6" hidden="1">
      <c r="B188" s="3" t="s">
        <v>306</v>
      </c>
      <c r="C188" t="s">
        <v>347</v>
      </c>
      <c r="D188" s="3" t="s">
        <v>41</v>
      </c>
      <c r="E188" s="3" t="s">
        <v>125</v>
      </c>
      <c r="F188" t="s">
        <v>154</v>
      </c>
      <c r="H188" s="3">
        <v>1</v>
      </c>
      <c r="I188" s="6"/>
      <c r="J188" s="17">
        <v>46195</v>
      </c>
      <c r="K188" s="17"/>
      <c r="L188" s="6" t="s">
        <v>348</v>
      </c>
      <c r="M188" t="s">
        <v>16</v>
      </c>
    </row>
    <row r="189" spans="2:13" hidden="1">
      <c r="B189" s="3" t="s">
        <v>349</v>
      </c>
      <c r="C189" t="s">
        <v>350</v>
      </c>
      <c r="D189" s="3" t="s">
        <v>41</v>
      </c>
      <c r="E189" s="3" t="s">
        <v>23</v>
      </c>
      <c r="F189" t="s">
        <v>351</v>
      </c>
      <c r="H189" s="3">
        <v>2</v>
      </c>
      <c r="I189" s="6"/>
      <c r="J189" s="17">
        <v>46195</v>
      </c>
      <c r="K189" s="17"/>
      <c r="L189" s="3" t="s">
        <v>352</v>
      </c>
      <c r="M189" t="s">
        <v>16</v>
      </c>
    </row>
    <row r="190" spans="2:13" hidden="1">
      <c r="B190" s="3" t="s">
        <v>349</v>
      </c>
      <c r="C190" t="s">
        <v>353</v>
      </c>
      <c r="D190" s="3" t="s">
        <v>41</v>
      </c>
      <c r="E190" s="3" t="s">
        <v>23</v>
      </c>
      <c r="F190" t="s">
        <v>87</v>
      </c>
      <c r="H190" s="3">
        <v>2</v>
      </c>
      <c r="I190" s="6"/>
      <c r="J190" s="17">
        <v>46195</v>
      </c>
      <c r="K190" s="17"/>
      <c r="L190" s="3" t="s">
        <v>354</v>
      </c>
      <c r="M190" t="s">
        <v>16</v>
      </c>
    </row>
    <row r="191" spans="2:13" ht="57.6" hidden="1">
      <c r="B191" s="3" t="s">
        <v>349</v>
      </c>
      <c r="C191" t="s">
        <v>355</v>
      </c>
      <c r="D191" s="3" t="s">
        <v>41</v>
      </c>
      <c r="E191" s="3" t="s">
        <v>125</v>
      </c>
      <c r="F191" t="s">
        <v>126</v>
      </c>
      <c r="H191" s="3">
        <v>1</v>
      </c>
      <c r="I191" s="6"/>
      <c r="J191" s="17">
        <v>46195</v>
      </c>
      <c r="K191" s="17"/>
      <c r="L191" s="6" t="s">
        <v>356</v>
      </c>
      <c r="M191" t="s">
        <v>16</v>
      </c>
    </row>
    <row r="192" spans="2:13" hidden="1">
      <c r="B192" s="3" t="s">
        <v>349</v>
      </c>
      <c r="C192" t="s">
        <v>357</v>
      </c>
      <c r="D192" s="3" t="s">
        <v>41</v>
      </c>
      <c r="E192" s="3" t="s">
        <v>14</v>
      </c>
      <c r="F192" t="s">
        <v>87</v>
      </c>
      <c r="H192" s="29" t="s">
        <v>358</v>
      </c>
      <c r="I192" s="6"/>
      <c r="J192" s="17">
        <v>46195</v>
      </c>
      <c r="K192" s="17"/>
      <c r="L192" s="3" t="s">
        <v>359</v>
      </c>
      <c r="M192" t="s">
        <v>16</v>
      </c>
    </row>
    <row r="193" spans="2:13" hidden="1">
      <c r="B193" s="3" t="s">
        <v>39</v>
      </c>
      <c r="C193" t="s">
        <v>360</v>
      </c>
      <c r="D193" s="3" t="s">
        <v>41</v>
      </c>
      <c r="E193" s="3" t="s">
        <v>23</v>
      </c>
      <c r="F193" t="s">
        <v>42</v>
      </c>
      <c r="H193" s="3">
        <v>4</v>
      </c>
      <c r="I193" s="6"/>
      <c r="J193" s="17">
        <v>46195</v>
      </c>
      <c r="K193" s="17"/>
      <c r="L193" s="3"/>
      <c r="M193" t="s">
        <v>25</v>
      </c>
    </row>
    <row r="194" spans="2:13" hidden="1">
      <c r="B194" s="3" t="s">
        <v>39</v>
      </c>
      <c r="C194" t="s">
        <v>361</v>
      </c>
      <c r="D194" s="3" t="s">
        <v>41</v>
      </c>
      <c r="E194" s="3" t="s">
        <v>23</v>
      </c>
      <c r="F194" t="s">
        <v>42</v>
      </c>
      <c r="H194" s="3">
        <v>6</v>
      </c>
      <c r="I194" s="6"/>
      <c r="J194" s="17">
        <v>46195</v>
      </c>
      <c r="K194" s="17"/>
      <c r="L194" s="3"/>
      <c r="M194" t="s">
        <v>25</v>
      </c>
    </row>
    <row r="195" spans="2:13" hidden="1">
      <c r="B195" s="3" t="s">
        <v>92</v>
      </c>
      <c r="C195" t="s">
        <v>362</v>
      </c>
      <c r="D195" s="3" t="s">
        <v>41</v>
      </c>
      <c r="E195" s="3" t="s">
        <v>125</v>
      </c>
      <c r="F195" t="s">
        <v>154</v>
      </c>
      <c r="H195" s="3">
        <v>1</v>
      </c>
      <c r="I195" s="6"/>
      <c r="J195" s="17">
        <v>46195</v>
      </c>
      <c r="K195" s="17"/>
      <c r="L195" s="3" t="s">
        <v>363</v>
      </c>
      <c r="M195" t="s">
        <v>16</v>
      </c>
    </row>
    <row r="196" spans="2:13" hidden="1">
      <c r="B196" s="3" t="s">
        <v>92</v>
      </c>
      <c r="C196" t="s">
        <v>364</v>
      </c>
      <c r="D196" s="3" t="s">
        <v>41</v>
      </c>
      <c r="E196" s="3" t="s">
        <v>14</v>
      </c>
      <c r="F196" t="s">
        <v>150</v>
      </c>
      <c r="H196" s="3">
        <v>1</v>
      </c>
      <c r="I196" s="6"/>
      <c r="J196" s="17">
        <v>46195</v>
      </c>
      <c r="K196" s="17"/>
      <c r="L196" s="3"/>
      <c r="M196" t="s">
        <v>25</v>
      </c>
    </row>
    <row r="197" spans="2:13" hidden="1">
      <c r="B197" s="3" t="s">
        <v>92</v>
      </c>
      <c r="C197" t="s">
        <v>365</v>
      </c>
      <c r="D197" s="3" t="s">
        <v>41</v>
      </c>
      <c r="E197" s="3" t="s">
        <v>23</v>
      </c>
      <c r="F197" t="s">
        <v>163</v>
      </c>
      <c r="H197" s="3">
        <v>1</v>
      </c>
      <c r="I197" s="6"/>
      <c r="J197" s="17">
        <v>46195</v>
      </c>
      <c r="K197" s="17"/>
      <c r="L197" s="3" t="s">
        <v>366</v>
      </c>
      <c r="M197" t="s">
        <v>16</v>
      </c>
    </row>
    <row r="198" spans="2:13" hidden="1">
      <c r="B198" s="3" t="s">
        <v>103</v>
      </c>
      <c r="C198" t="s">
        <v>367</v>
      </c>
      <c r="D198" s="3" t="s">
        <v>41</v>
      </c>
      <c r="E198" s="3" t="s">
        <v>23</v>
      </c>
      <c r="F198" t="s">
        <v>145</v>
      </c>
      <c r="H198" s="3">
        <v>2</v>
      </c>
      <c r="I198" s="6"/>
      <c r="J198" s="17">
        <v>46195</v>
      </c>
      <c r="K198" s="17"/>
      <c r="L198" s="3" t="s">
        <v>368</v>
      </c>
      <c r="M198" t="s">
        <v>16</v>
      </c>
    </row>
    <row r="199" spans="2:13" hidden="1">
      <c r="B199" s="3" t="s">
        <v>103</v>
      </c>
      <c r="C199" t="s">
        <v>369</v>
      </c>
      <c r="D199" s="3" t="s">
        <v>41</v>
      </c>
      <c r="E199" s="3" t="s">
        <v>23</v>
      </c>
      <c r="F199" t="s">
        <v>265</v>
      </c>
      <c r="H199" s="3">
        <v>3</v>
      </c>
      <c r="I199" s="6"/>
      <c r="J199" s="17">
        <v>46195</v>
      </c>
      <c r="K199" s="17"/>
      <c r="L199" s="3"/>
      <c r="M199" t="s">
        <v>25</v>
      </c>
    </row>
    <row r="200" spans="2:13" hidden="1">
      <c r="B200" s="3" t="s">
        <v>103</v>
      </c>
      <c r="C200" t="s">
        <v>370</v>
      </c>
      <c r="D200" s="3" t="s">
        <v>41</v>
      </c>
      <c r="E200" s="3" t="s">
        <v>23</v>
      </c>
      <c r="F200" t="s">
        <v>371</v>
      </c>
      <c r="H200" s="3">
        <v>3</v>
      </c>
      <c r="I200" s="6"/>
      <c r="J200" s="17">
        <v>46195</v>
      </c>
      <c r="K200" s="17"/>
      <c r="L200" s="3" t="s">
        <v>372</v>
      </c>
      <c r="M200" t="s">
        <v>16</v>
      </c>
    </row>
    <row r="201" spans="2:13" hidden="1">
      <c r="B201" s="3" t="s">
        <v>58</v>
      </c>
      <c r="C201" t="s">
        <v>343</v>
      </c>
      <c r="D201" s="3" t="s">
        <v>41</v>
      </c>
      <c r="E201" s="3" t="s">
        <v>23</v>
      </c>
      <c r="F201" t="s">
        <v>69</v>
      </c>
      <c r="H201" s="3">
        <v>2</v>
      </c>
      <c r="I201" s="6"/>
      <c r="J201" s="17">
        <v>46195</v>
      </c>
      <c r="K201" s="17"/>
      <c r="L201" s="3"/>
      <c r="M201" t="s">
        <v>25</v>
      </c>
    </row>
    <row r="202" spans="2:13" hidden="1">
      <c r="B202" s="3" t="s">
        <v>58</v>
      </c>
      <c r="C202" t="s">
        <v>345</v>
      </c>
      <c r="D202" s="3" t="s">
        <v>41</v>
      </c>
      <c r="E202" s="3" t="s">
        <v>23</v>
      </c>
      <c r="F202" t="s">
        <v>69</v>
      </c>
      <c r="H202" s="3">
        <v>2</v>
      </c>
      <c r="I202" s="6"/>
      <c r="J202" s="17">
        <v>46195</v>
      </c>
      <c r="K202" s="17"/>
      <c r="L202" s="3"/>
      <c r="M202" t="s">
        <v>25</v>
      </c>
    </row>
    <row r="203" spans="2:13" hidden="1">
      <c r="B203" s="3" t="s">
        <v>58</v>
      </c>
      <c r="C203" t="s">
        <v>346</v>
      </c>
      <c r="D203" s="3" t="s">
        <v>41</v>
      </c>
      <c r="E203" s="3" t="s">
        <v>23</v>
      </c>
      <c r="F203" t="s">
        <v>69</v>
      </c>
      <c r="H203" s="3">
        <v>2</v>
      </c>
      <c r="I203" s="6"/>
      <c r="J203" s="17">
        <v>46195</v>
      </c>
      <c r="K203" s="17"/>
      <c r="L203" s="3"/>
      <c r="M203" t="s">
        <v>25</v>
      </c>
    </row>
    <row r="204" spans="2:13" hidden="1">
      <c r="B204" s="3" t="s">
        <v>58</v>
      </c>
      <c r="C204" t="s">
        <v>347</v>
      </c>
      <c r="D204" s="3" t="s">
        <v>41</v>
      </c>
      <c r="E204" s="3" t="s">
        <v>125</v>
      </c>
      <c r="F204" t="s">
        <v>154</v>
      </c>
      <c r="H204" s="3">
        <v>1</v>
      </c>
      <c r="I204" s="6"/>
      <c r="J204" s="17">
        <v>46195</v>
      </c>
      <c r="K204" s="17"/>
      <c r="L204" s="3" t="s">
        <v>373</v>
      </c>
      <c r="M204" t="s">
        <v>16</v>
      </c>
    </row>
    <row r="205" spans="2:13" hidden="1">
      <c r="B205" s="3" t="s">
        <v>278</v>
      </c>
      <c r="C205" t="s">
        <v>341</v>
      </c>
      <c r="D205" s="3" t="s">
        <v>41</v>
      </c>
      <c r="E205" s="3" t="s">
        <v>23</v>
      </c>
      <c r="F205" t="s">
        <v>374</v>
      </c>
      <c r="H205" s="3">
        <v>2</v>
      </c>
      <c r="I205" s="6"/>
      <c r="J205" s="17">
        <v>46195</v>
      </c>
      <c r="K205" s="17"/>
      <c r="L205" s="3" t="s">
        <v>375</v>
      </c>
      <c r="M205" t="s">
        <v>16</v>
      </c>
    </row>
    <row r="206" spans="2:13" hidden="1">
      <c r="B206" s="3" t="s">
        <v>278</v>
      </c>
      <c r="C206" t="s">
        <v>343</v>
      </c>
      <c r="D206" s="3" t="s">
        <v>41</v>
      </c>
      <c r="E206" s="3" t="s">
        <v>23</v>
      </c>
      <c r="F206" t="s">
        <v>374</v>
      </c>
      <c r="H206" s="3">
        <v>2</v>
      </c>
      <c r="I206" s="6"/>
      <c r="J206" s="17">
        <v>46195</v>
      </c>
      <c r="K206" s="17"/>
      <c r="L206" s="3" t="s">
        <v>376</v>
      </c>
      <c r="M206" t="s">
        <v>16</v>
      </c>
    </row>
    <row r="207" spans="2:13" hidden="1">
      <c r="B207" s="3"/>
      <c r="D207" s="3"/>
      <c r="E207" s="3"/>
      <c r="H207" s="3"/>
      <c r="I207" s="6"/>
      <c r="J207" s="4"/>
      <c r="K207" s="4"/>
      <c r="L207" s="3"/>
    </row>
    <row r="208" spans="2:13" hidden="1">
      <c r="B208" s="3"/>
      <c r="D208" s="3"/>
      <c r="E208" s="3"/>
      <c r="H208" s="3"/>
      <c r="I208" s="6"/>
      <c r="J208" s="4"/>
      <c r="K208" s="4"/>
      <c r="L208" s="3"/>
    </row>
    <row r="209" spans="2:13" hidden="1">
      <c r="B209" s="3"/>
      <c r="D209" s="3"/>
      <c r="E209" s="3"/>
      <c r="H209" s="3"/>
      <c r="I209" s="6"/>
      <c r="J209" s="4"/>
      <c r="K209" s="4"/>
      <c r="L209" s="3"/>
    </row>
    <row r="210" spans="2:13" hidden="1">
      <c r="B210" s="3"/>
      <c r="D210" s="3"/>
      <c r="E210" s="3"/>
      <c r="H210" s="3"/>
      <c r="I210" s="6"/>
      <c r="J210" s="4"/>
      <c r="K210" s="4"/>
      <c r="L210" s="3"/>
    </row>
    <row r="211" spans="2:13" hidden="1">
      <c r="B211" s="3"/>
      <c r="D211" s="3"/>
      <c r="E211" s="3"/>
      <c r="H211" s="3"/>
      <c r="I211" s="6"/>
      <c r="J211" s="4"/>
      <c r="K211" s="4"/>
      <c r="L211" s="3"/>
    </row>
    <row r="212" spans="2:13" hidden="1">
      <c r="B212" s="3"/>
      <c r="D212" s="3"/>
      <c r="E212" s="3"/>
      <c r="H212" s="3"/>
      <c r="I212" s="6"/>
      <c r="J212" s="4"/>
      <c r="K212" s="4"/>
      <c r="L212" s="3"/>
    </row>
    <row r="213" spans="2:13" hidden="1">
      <c r="B213" s="14"/>
      <c r="D213" s="14"/>
      <c r="E213" s="14"/>
      <c r="H213" s="14"/>
      <c r="I213" s="16"/>
      <c r="J213" s="17"/>
      <c r="K213" s="17"/>
      <c r="L213" s="14"/>
    </row>
    <row r="214" spans="2:13" hidden="1">
      <c r="B214" s="14" t="s">
        <v>30</v>
      </c>
      <c r="C214" t="s">
        <v>377</v>
      </c>
      <c r="D214" s="14" t="s">
        <v>41</v>
      </c>
      <c r="E214" s="14" t="s">
        <v>14</v>
      </c>
      <c r="F214" t="s">
        <v>150</v>
      </c>
      <c r="H214" s="14">
        <v>3</v>
      </c>
      <c r="I214" s="16"/>
      <c r="J214" s="17">
        <v>46197</v>
      </c>
      <c r="K214" s="17"/>
      <c r="L214" s="14"/>
      <c r="M214" t="s">
        <v>25</v>
      </c>
    </row>
    <row r="215" spans="2:13" hidden="1">
      <c r="B215" s="14" t="s">
        <v>30</v>
      </c>
      <c r="C215" t="s">
        <v>378</v>
      </c>
      <c r="D215" s="14" t="s">
        <v>41</v>
      </c>
      <c r="E215" s="14" t="s">
        <v>14</v>
      </c>
      <c r="F215" t="s">
        <v>150</v>
      </c>
      <c r="H215" s="14">
        <v>3</v>
      </c>
      <c r="I215" s="16"/>
      <c r="J215" s="17">
        <v>46197</v>
      </c>
      <c r="K215" s="17"/>
      <c r="L215" s="14"/>
      <c r="M215" t="s">
        <v>25</v>
      </c>
    </row>
    <row r="216" spans="2:13" hidden="1">
      <c r="B216" s="14" t="s">
        <v>12</v>
      </c>
      <c r="C216" t="s">
        <v>379</v>
      </c>
      <c r="D216" s="14" t="s">
        <v>22</v>
      </c>
      <c r="E216" s="14" t="s">
        <v>23</v>
      </c>
      <c r="F216" t="s">
        <v>24</v>
      </c>
      <c r="H216" s="14">
        <v>4</v>
      </c>
      <c r="I216" s="16"/>
      <c r="J216" s="17">
        <v>46209</v>
      </c>
      <c r="K216" s="31" t="s">
        <v>380</v>
      </c>
      <c r="L216" s="14" t="s">
        <v>381</v>
      </c>
      <c r="M216" t="s">
        <v>382</v>
      </c>
    </row>
    <row r="217" spans="2:13" hidden="1">
      <c r="B217" s="14" t="s">
        <v>12</v>
      </c>
      <c r="C217" t="s">
        <v>383</v>
      </c>
      <c r="D217" s="14" t="s">
        <v>22</v>
      </c>
      <c r="E217" s="14" t="s">
        <v>14</v>
      </c>
      <c r="F217" t="s">
        <v>384</v>
      </c>
      <c r="H217" s="14">
        <v>8</v>
      </c>
      <c r="I217" s="16"/>
      <c r="J217" s="17">
        <v>46199</v>
      </c>
      <c r="K217" s="17"/>
      <c r="L217" s="14"/>
      <c r="M217" t="s">
        <v>25</v>
      </c>
    </row>
    <row r="218" spans="2:13" hidden="1">
      <c r="B218" s="14" t="s">
        <v>103</v>
      </c>
      <c r="C218" t="s">
        <v>385</v>
      </c>
      <c r="D218" s="14" t="s">
        <v>41</v>
      </c>
      <c r="E218" s="14" t="s">
        <v>23</v>
      </c>
      <c r="F218" t="s">
        <v>386</v>
      </c>
      <c r="H218" s="14">
        <v>3</v>
      </c>
      <c r="I218" s="16"/>
      <c r="J218" s="17">
        <v>46209</v>
      </c>
      <c r="K218" s="31" t="s">
        <v>387</v>
      </c>
      <c r="L218" s="14" t="s">
        <v>388</v>
      </c>
      <c r="M218" t="s">
        <v>389</v>
      </c>
    </row>
    <row r="219" spans="2:13" hidden="1">
      <c r="B219" s="14" t="s">
        <v>103</v>
      </c>
      <c r="C219" t="s">
        <v>390</v>
      </c>
      <c r="D219" s="14" t="s">
        <v>41</v>
      </c>
      <c r="E219" s="14" t="s">
        <v>14</v>
      </c>
      <c r="F219" t="s">
        <v>265</v>
      </c>
      <c r="H219" s="14">
        <v>3</v>
      </c>
      <c r="I219" s="16"/>
      <c r="J219" s="17">
        <v>46209</v>
      </c>
      <c r="K219" s="31"/>
      <c r="L219" s="14"/>
      <c r="M219" t="s">
        <v>389</v>
      </c>
    </row>
    <row r="220" spans="2:13" hidden="1">
      <c r="B220" s="14" t="s">
        <v>12</v>
      </c>
      <c r="C220" t="s">
        <v>391</v>
      </c>
      <c r="D220" s="14" t="s">
        <v>22</v>
      </c>
      <c r="E220" s="14" t="s">
        <v>14</v>
      </c>
      <c r="H220" s="14">
        <v>3</v>
      </c>
      <c r="I220" s="16"/>
      <c r="J220" s="17">
        <v>46209</v>
      </c>
      <c r="K220" s="31"/>
      <c r="L220" s="14"/>
    </row>
    <row r="221" spans="2:13" hidden="1">
      <c r="B221" s="14" t="s">
        <v>392</v>
      </c>
      <c r="C221" t="s">
        <v>393</v>
      </c>
      <c r="D221" s="14" t="s">
        <v>22</v>
      </c>
      <c r="E221" s="14" t="s">
        <v>23</v>
      </c>
      <c r="H221" s="28" t="s">
        <v>394</v>
      </c>
      <c r="I221" s="16"/>
      <c r="J221" s="17">
        <v>46209</v>
      </c>
      <c r="K221" s="31"/>
      <c r="L221" s="14" t="s">
        <v>395</v>
      </c>
      <c r="M221" t="s">
        <v>25</v>
      </c>
    </row>
    <row r="222" spans="2:13" hidden="1">
      <c r="B222" s="14" t="s">
        <v>396</v>
      </c>
      <c r="C222" t="s">
        <v>393</v>
      </c>
      <c r="D222" s="14" t="s">
        <v>22</v>
      </c>
      <c r="E222" s="14" t="s">
        <v>23</v>
      </c>
      <c r="H222" s="28" t="s">
        <v>394</v>
      </c>
      <c r="I222" s="16"/>
      <c r="J222" s="17">
        <v>46209</v>
      </c>
      <c r="K222" s="31"/>
      <c r="L222" s="14" t="s">
        <v>395</v>
      </c>
      <c r="M222" t="s">
        <v>25</v>
      </c>
    </row>
    <row r="223" spans="2:13" hidden="1">
      <c r="B223" s="14" t="s">
        <v>396</v>
      </c>
      <c r="C223" t="s">
        <v>397</v>
      </c>
      <c r="D223" s="14" t="s">
        <v>22</v>
      </c>
      <c r="E223" s="14" t="s">
        <v>14</v>
      </c>
      <c r="H223" s="14">
        <v>2</v>
      </c>
      <c r="I223" s="16"/>
      <c r="J223" s="17">
        <v>46209</v>
      </c>
      <c r="K223" s="31"/>
      <c r="L223" s="14"/>
      <c r="M223" t="s">
        <v>382</v>
      </c>
    </row>
    <row r="224" spans="2:13" hidden="1">
      <c r="B224" s="14" t="s">
        <v>12</v>
      </c>
      <c r="C224" t="s">
        <v>398</v>
      </c>
      <c r="D224" s="14" t="s">
        <v>22</v>
      </c>
      <c r="E224" s="14" t="s">
        <v>23</v>
      </c>
      <c r="H224" s="14"/>
      <c r="I224" s="16"/>
      <c r="J224" s="17">
        <v>46209</v>
      </c>
      <c r="K224" s="31"/>
      <c r="L224" s="14"/>
    </row>
    <row r="225" spans="2:13" hidden="1">
      <c r="B225" s="14" t="s">
        <v>30</v>
      </c>
      <c r="C225" t="s">
        <v>399</v>
      </c>
      <c r="D225" s="14" t="s">
        <v>22</v>
      </c>
      <c r="E225" s="14" t="s">
        <v>14</v>
      </c>
      <c r="H225" s="14"/>
      <c r="I225" s="16"/>
      <c r="J225" s="17">
        <v>46209</v>
      </c>
      <c r="K225" s="31"/>
      <c r="L225" s="14"/>
    </row>
    <row r="226" spans="2:13" hidden="1">
      <c r="B226" s="14" t="s">
        <v>103</v>
      </c>
      <c r="C226" t="s">
        <v>400</v>
      </c>
      <c r="D226" s="14" t="s">
        <v>401</v>
      </c>
      <c r="E226" s="14" t="s">
        <v>402</v>
      </c>
      <c r="H226" s="14"/>
      <c r="I226" s="16"/>
      <c r="J226" s="17">
        <v>46199</v>
      </c>
      <c r="K226" s="17"/>
      <c r="L226" s="14"/>
    </row>
    <row r="227" spans="2:13" hidden="1">
      <c r="B227" s="14" t="s">
        <v>403</v>
      </c>
      <c r="C227" t="s">
        <v>404</v>
      </c>
      <c r="D227" s="14" t="s">
        <v>41</v>
      </c>
      <c r="E227" s="14" t="s">
        <v>23</v>
      </c>
      <c r="H227" s="14">
        <v>2</v>
      </c>
      <c r="I227" s="16"/>
      <c r="J227" s="17">
        <v>46209</v>
      </c>
      <c r="K227" s="31"/>
      <c r="L227" s="14" t="s">
        <v>405</v>
      </c>
      <c r="M227" t="s">
        <v>25</v>
      </c>
    </row>
    <row r="228" spans="2:13" hidden="1">
      <c r="B228" s="14" t="s">
        <v>403</v>
      </c>
      <c r="C228" t="s">
        <v>406</v>
      </c>
      <c r="D228" s="14" t="s">
        <v>41</v>
      </c>
      <c r="E228" s="14" t="s">
        <v>23</v>
      </c>
      <c r="H228" s="14">
        <v>2</v>
      </c>
      <c r="I228" s="16"/>
      <c r="J228" s="17">
        <v>46209</v>
      </c>
      <c r="K228" s="31"/>
      <c r="L228" s="14" t="s">
        <v>405</v>
      </c>
      <c r="M228" t="s">
        <v>25</v>
      </c>
    </row>
    <row r="229" spans="2:13" hidden="1">
      <c r="B229" s="14" t="s">
        <v>403</v>
      </c>
      <c r="C229" t="s">
        <v>407</v>
      </c>
      <c r="D229" s="14" t="s">
        <v>41</v>
      </c>
      <c r="E229" s="14" t="s">
        <v>408</v>
      </c>
      <c r="H229" s="14">
        <v>2</v>
      </c>
      <c r="I229" s="16"/>
      <c r="J229" s="17">
        <v>46209</v>
      </c>
      <c r="K229" s="31" t="s">
        <v>409</v>
      </c>
      <c r="L229" s="14" t="s">
        <v>410</v>
      </c>
      <c r="M229" t="s">
        <v>389</v>
      </c>
    </row>
    <row r="230" spans="2:13" hidden="1">
      <c r="B230" s="14" t="s">
        <v>411</v>
      </c>
      <c r="C230" t="s">
        <v>404</v>
      </c>
      <c r="D230" s="14" t="s">
        <v>41</v>
      </c>
      <c r="E230" s="14" t="s">
        <v>23</v>
      </c>
      <c r="H230" s="14">
        <v>2</v>
      </c>
      <c r="I230" s="16"/>
      <c r="J230" s="17">
        <v>46209</v>
      </c>
      <c r="K230" s="31"/>
      <c r="L230" s="14" t="s">
        <v>405</v>
      </c>
      <c r="M230" t="s">
        <v>25</v>
      </c>
    </row>
    <row r="231" spans="2:13" hidden="1">
      <c r="B231" s="14" t="s">
        <v>411</v>
      </c>
      <c r="C231" t="s">
        <v>406</v>
      </c>
      <c r="D231" s="14" t="s">
        <v>41</v>
      </c>
      <c r="E231" s="14" t="s">
        <v>23</v>
      </c>
      <c r="H231" s="14">
        <v>2</v>
      </c>
      <c r="I231" s="16"/>
      <c r="J231" s="17">
        <v>46209</v>
      </c>
      <c r="K231" s="31"/>
      <c r="L231" s="14" t="s">
        <v>405</v>
      </c>
      <c r="M231" t="s">
        <v>25</v>
      </c>
    </row>
    <row r="232" spans="2:13" hidden="1">
      <c r="B232" s="14" t="s">
        <v>411</v>
      </c>
      <c r="C232" t="s">
        <v>407</v>
      </c>
      <c r="D232" s="14" t="s">
        <v>41</v>
      </c>
      <c r="E232" s="14" t="s">
        <v>408</v>
      </c>
      <c r="H232" s="14">
        <v>2</v>
      </c>
      <c r="I232" s="16"/>
      <c r="J232" s="17">
        <v>46209</v>
      </c>
      <c r="K232" s="31" t="s">
        <v>412</v>
      </c>
      <c r="L232" s="14" t="s">
        <v>413</v>
      </c>
      <c r="M232" t="s">
        <v>389</v>
      </c>
    </row>
    <row r="233" spans="2:13" hidden="1">
      <c r="B233" s="14" t="s">
        <v>278</v>
      </c>
      <c r="C233" t="s">
        <v>404</v>
      </c>
      <c r="D233" s="14" t="s">
        <v>41</v>
      </c>
      <c r="E233" s="14" t="s">
        <v>23</v>
      </c>
      <c r="H233" s="14">
        <v>2</v>
      </c>
      <c r="I233" s="16"/>
      <c r="J233" s="17">
        <v>46209</v>
      </c>
      <c r="K233" s="31"/>
      <c r="L233" s="14"/>
      <c r="M233" t="s">
        <v>389</v>
      </c>
    </row>
    <row r="234" spans="2:13" hidden="1">
      <c r="B234" s="14" t="s">
        <v>278</v>
      </c>
      <c r="C234" t="s">
        <v>406</v>
      </c>
      <c r="D234" s="14" t="s">
        <v>41</v>
      </c>
      <c r="E234" s="14" t="s">
        <v>23</v>
      </c>
      <c r="H234" s="14">
        <v>2</v>
      </c>
      <c r="I234" s="16"/>
      <c r="J234" s="17">
        <v>46209</v>
      </c>
      <c r="K234" s="31"/>
      <c r="L234" s="14" t="s">
        <v>414</v>
      </c>
      <c r="M234" t="s">
        <v>389</v>
      </c>
    </row>
    <row r="235" spans="2:13" hidden="1">
      <c r="B235" s="14" t="s">
        <v>278</v>
      </c>
      <c r="C235" t="s">
        <v>415</v>
      </c>
      <c r="D235" s="14" t="s">
        <v>41</v>
      </c>
      <c r="E235" s="14" t="s">
        <v>408</v>
      </c>
      <c r="H235" s="14">
        <v>2</v>
      </c>
      <c r="I235" s="16"/>
      <c r="J235" s="17">
        <v>46209</v>
      </c>
      <c r="K235" s="31" t="s">
        <v>412</v>
      </c>
      <c r="L235" s="14" t="s">
        <v>416</v>
      </c>
      <c r="M235" t="s">
        <v>389</v>
      </c>
    </row>
    <row r="236" spans="2:13" hidden="1">
      <c r="B236" s="14" t="s">
        <v>417</v>
      </c>
      <c r="D236" s="14"/>
      <c r="E236" s="14"/>
      <c r="H236" s="14"/>
      <c r="I236" s="16"/>
      <c r="J236" s="17"/>
      <c r="K236" s="17"/>
      <c r="L236" s="14"/>
    </row>
    <row r="237" spans="2:13" hidden="1">
      <c r="B237" s="14" t="s">
        <v>417</v>
      </c>
      <c r="D237" s="14"/>
      <c r="E237" s="14"/>
      <c r="H237" s="14"/>
      <c r="I237" s="16"/>
      <c r="J237" s="17"/>
      <c r="K237" s="17"/>
      <c r="L237" s="14"/>
    </row>
    <row r="238" spans="2:13" hidden="1">
      <c r="B238" s="14" t="s">
        <v>417</v>
      </c>
      <c r="D238" s="14"/>
      <c r="E238" s="14"/>
      <c r="H238" s="14"/>
      <c r="I238" s="16"/>
      <c r="J238" s="17"/>
      <c r="K238" s="17"/>
      <c r="L238" s="14"/>
    </row>
    <row r="239" spans="2:13" hidden="1">
      <c r="B239" s="14" t="s">
        <v>396</v>
      </c>
      <c r="C239" t="s">
        <v>418</v>
      </c>
      <c r="D239" s="3" t="s">
        <v>41</v>
      </c>
      <c r="E239" s="3" t="s">
        <v>23</v>
      </c>
      <c r="H239" s="14">
        <v>1</v>
      </c>
      <c r="I239" s="16"/>
      <c r="J239" s="17">
        <v>46209</v>
      </c>
      <c r="K239" s="31" t="s">
        <v>419</v>
      </c>
      <c r="L239" s="14"/>
      <c r="M239" t="s">
        <v>389</v>
      </c>
    </row>
    <row r="240" spans="2:13" hidden="1">
      <c r="B240" s="14" t="s">
        <v>396</v>
      </c>
      <c r="C240" t="s">
        <v>420</v>
      </c>
      <c r="D240" s="3" t="s">
        <v>41</v>
      </c>
      <c r="E240" s="3" t="s">
        <v>23</v>
      </c>
      <c r="H240" s="3">
        <v>1</v>
      </c>
      <c r="I240" s="6"/>
      <c r="J240" s="17">
        <v>46209</v>
      </c>
      <c r="K240" s="31" t="s">
        <v>421</v>
      </c>
      <c r="L240" s="3"/>
      <c r="M240" t="s">
        <v>389</v>
      </c>
    </row>
    <row r="241" spans="2:13" hidden="1">
      <c r="B241" s="14" t="s">
        <v>396</v>
      </c>
      <c r="C241" t="s">
        <v>407</v>
      </c>
      <c r="D241" s="3" t="s">
        <v>41</v>
      </c>
      <c r="E241" s="3" t="s">
        <v>408</v>
      </c>
      <c r="H241" s="3">
        <v>2</v>
      </c>
      <c r="I241" s="6"/>
      <c r="J241" s="17">
        <v>46209</v>
      </c>
      <c r="K241" s="31" t="s">
        <v>412</v>
      </c>
      <c r="L241" s="3" t="s">
        <v>422</v>
      </c>
      <c r="M241" t="s">
        <v>389</v>
      </c>
    </row>
    <row r="242" spans="2:13" hidden="1">
      <c r="B242" s="14" t="s">
        <v>396</v>
      </c>
      <c r="C242" t="s">
        <v>343</v>
      </c>
      <c r="D242" s="14" t="s">
        <v>41</v>
      </c>
      <c r="E242" s="14" t="s">
        <v>23</v>
      </c>
      <c r="H242" s="14">
        <v>2</v>
      </c>
      <c r="I242" s="16"/>
      <c r="J242" s="17">
        <v>46209</v>
      </c>
      <c r="K242" s="31" t="s">
        <v>387</v>
      </c>
      <c r="L242" s="14"/>
      <c r="M242" t="s">
        <v>389</v>
      </c>
    </row>
    <row r="243" spans="2:13" hidden="1">
      <c r="B243" s="14" t="s">
        <v>392</v>
      </c>
      <c r="C243" t="s">
        <v>418</v>
      </c>
      <c r="D243" s="3" t="s">
        <v>41</v>
      </c>
      <c r="E243" s="3" t="s">
        <v>23</v>
      </c>
      <c r="H243" s="14">
        <v>1</v>
      </c>
      <c r="I243" s="16"/>
      <c r="J243" s="17">
        <v>46209</v>
      </c>
      <c r="K243" s="31" t="s">
        <v>423</v>
      </c>
      <c r="L243" s="14"/>
      <c r="M243" t="s">
        <v>389</v>
      </c>
    </row>
    <row r="244" spans="2:13" hidden="1">
      <c r="B244" s="14" t="s">
        <v>392</v>
      </c>
      <c r="C244" t="s">
        <v>420</v>
      </c>
      <c r="D244" s="3" t="s">
        <v>41</v>
      </c>
      <c r="E244" s="3" t="s">
        <v>23</v>
      </c>
      <c r="H244" s="14">
        <v>1</v>
      </c>
      <c r="I244" s="16"/>
      <c r="J244" s="17">
        <v>46209</v>
      </c>
      <c r="K244" s="31" t="s">
        <v>387</v>
      </c>
      <c r="L244" s="14"/>
      <c r="M244" t="s">
        <v>389</v>
      </c>
    </row>
    <row r="245" spans="2:13" hidden="1">
      <c r="B245" s="14" t="s">
        <v>392</v>
      </c>
      <c r="C245" t="s">
        <v>407</v>
      </c>
      <c r="D245" s="3" t="s">
        <v>41</v>
      </c>
      <c r="E245" s="3" t="s">
        <v>408</v>
      </c>
      <c r="H245" s="14">
        <v>2</v>
      </c>
      <c r="I245" s="16"/>
      <c r="J245" s="17">
        <v>46209</v>
      </c>
      <c r="K245" s="31" t="s">
        <v>412</v>
      </c>
      <c r="L245" s="14" t="s">
        <v>424</v>
      </c>
      <c r="M245" t="s">
        <v>389</v>
      </c>
    </row>
    <row r="246" spans="2:13" hidden="1">
      <c r="B246" s="14" t="s">
        <v>392</v>
      </c>
      <c r="C246" t="s">
        <v>343</v>
      </c>
      <c r="D246" s="14" t="s">
        <v>41</v>
      </c>
      <c r="E246" s="14" t="s">
        <v>23</v>
      </c>
      <c r="H246" s="14">
        <v>2</v>
      </c>
      <c r="I246" s="16"/>
      <c r="J246" s="17">
        <v>46209</v>
      </c>
      <c r="K246" s="31" t="s">
        <v>387</v>
      </c>
      <c r="L246" s="14"/>
      <c r="M246" t="s">
        <v>389</v>
      </c>
    </row>
    <row r="247" spans="2:13" hidden="1">
      <c r="B247" s="3" t="s">
        <v>349</v>
      </c>
      <c r="C247" t="s">
        <v>350</v>
      </c>
      <c r="D247" s="3" t="s">
        <v>41</v>
      </c>
      <c r="E247" s="3" t="s">
        <v>23</v>
      </c>
      <c r="H247" s="29" t="s">
        <v>50</v>
      </c>
      <c r="I247" s="6"/>
      <c r="J247" s="17">
        <v>46209</v>
      </c>
      <c r="K247" s="31" t="s">
        <v>425</v>
      </c>
      <c r="L247" s="3" t="s">
        <v>426</v>
      </c>
      <c r="M247" t="s">
        <v>389</v>
      </c>
    </row>
    <row r="248" spans="2:13" hidden="1">
      <c r="B248" s="3" t="s">
        <v>349</v>
      </c>
      <c r="C248" t="s">
        <v>353</v>
      </c>
      <c r="D248" s="3" t="s">
        <v>41</v>
      </c>
      <c r="E248" s="3" t="s">
        <v>23</v>
      </c>
      <c r="H248" s="3">
        <v>2</v>
      </c>
      <c r="I248" s="6"/>
      <c r="J248" s="17">
        <v>46209</v>
      </c>
      <c r="K248" s="31" t="s">
        <v>427</v>
      </c>
      <c r="L248" s="3" t="s">
        <v>428</v>
      </c>
      <c r="M248" t="s">
        <v>389</v>
      </c>
    </row>
    <row r="249" spans="2:13" hidden="1">
      <c r="B249" s="3" t="s">
        <v>349</v>
      </c>
      <c r="C249" t="s">
        <v>429</v>
      </c>
      <c r="D249" s="3" t="s">
        <v>41</v>
      </c>
      <c r="E249" s="3" t="s">
        <v>408</v>
      </c>
      <c r="H249" s="3">
        <v>2</v>
      </c>
      <c r="I249" s="6"/>
      <c r="J249" s="17">
        <v>46209</v>
      </c>
      <c r="K249" s="31" t="s">
        <v>412</v>
      </c>
      <c r="L249" s="3" t="s">
        <v>430</v>
      </c>
      <c r="M249" t="s">
        <v>389</v>
      </c>
    </row>
    <row r="250" spans="2:13" hidden="1">
      <c r="B250" s="14" t="s">
        <v>349</v>
      </c>
      <c r="C250" t="s">
        <v>431</v>
      </c>
      <c r="D250" s="14" t="s">
        <v>41</v>
      </c>
      <c r="E250" s="14" t="s">
        <v>23</v>
      </c>
      <c r="H250" s="14">
        <v>1</v>
      </c>
      <c r="I250" s="16"/>
      <c r="J250" s="17">
        <v>46209</v>
      </c>
      <c r="K250" s="31" t="s">
        <v>387</v>
      </c>
      <c r="L250" s="14" t="s">
        <v>432</v>
      </c>
      <c r="M250" t="s">
        <v>389</v>
      </c>
    </row>
    <row r="251" spans="2:13" hidden="1">
      <c r="B251" s="14" t="s">
        <v>39</v>
      </c>
      <c r="C251" t="s">
        <v>433</v>
      </c>
      <c r="D251" s="14" t="s">
        <v>22</v>
      </c>
      <c r="E251" s="14" t="s">
        <v>408</v>
      </c>
      <c r="H251" s="14">
        <v>4</v>
      </c>
      <c r="I251" s="16"/>
      <c r="J251" s="17">
        <v>46209</v>
      </c>
      <c r="K251" s="31" t="s">
        <v>423</v>
      </c>
      <c r="L251" s="14" t="s">
        <v>434</v>
      </c>
      <c r="M251" t="s">
        <v>389</v>
      </c>
    </row>
    <row r="252" spans="2:13" hidden="1">
      <c r="B252" s="14" t="s">
        <v>39</v>
      </c>
      <c r="C252" t="s">
        <v>435</v>
      </c>
      <c r="D252" s="14" t="s">
        <v>41</v>
      </c>
      <c r="E252" s="14" t="s">
        <v>23</v>
      </c>
      <c r="H252" s="14">
        <v>6</v>
      </c>
      <c r="I252" s="16"/>
      <c r="J252" s="17">
        <v>46209</v>
      </c>
      <c r="K252" s="31"/>
      <c r="L252" s="14"/>
      <c r="M252" t="s">
        <v>25</v>
      </c>
    </row>
    <row r="253" spans="2:13" hidden="1">
      <c r="B253" s="14" t="s">
        <v>39</v>
      </c>
      <c r="C253" t="s">
        <v>436</v>
      </c>
      <c r="D253" s="14" t="s">
        <v>22</v>
      </c>
      <c r="E253" s="14" t="s">
        <v>14</v>
      </c>
      <c r="H253" s="14">
        <v>6</v>
      </c>
      <c r="I253" s="16"/>
      <c r="J253" s="17">
        <v>46209</v>
      </c>
      <c r="K253" s="30" t="s">
        <v>437</v>
      </c>
      <c r="L253" s="14" t="s">
        <v>438</v>
      </c>
      <c r="M253" t="s">
        <v>389</v>
      </c>
    </row>
    <row r="254" spans="2:13" hidden="1">
      <c r="B254" s="14" t="s">
        <v>92</v>
      </c>
      <c r="C254" t="s">
        <v>439</v>
      </c>
      <c r="D254" s="14" t="s">
        <v>41</v>
      </c>
      <c r="E254" s="14" t="s">
        <v>23</v>
      </c>
      <c r="H254" s="14">
        <v>6</v>
      </c>
      <c r="I254" s="16"/>
      <c r="J254" s="17">
        <v>46209</v>
      </c>
      <c r="K254" s="31" t="s">
        <v>440</v>
      </c>
      <c r="L254" s="14" t="s">
        <v>441</v>
      </c>
      <c r="M254" t="s">
        <v>389</v>
      </c>
    </row>
    <row r="255" spans="2:13" hidden="1">
      <c r="B255" s="14" t="s">
        <v>92</v>
      </c>
      <c r="C255" t="s">
        <v>442</v>
      </c>
      <c r="D255" s="14" t="s">
        <v>41</v>
      </c>
      <c r="E255" s="14" t="s">
        <v>23</v>
      </c>
      <c r="H255" s="14">
        <v>2</v>
      </c>
      <c r="I255" s="16"/>
      <c r="J255" s="17">
        <v>46209</v>
      </c>
      <c r="K255" s="31"/>
      <c r="L255" s="14"/>
      <c r="M255" t="s">
        <v>25</v>
      </c>
    </row>
    <row r="256" spans="2:13" hidden="1">
      <c r="B256" s="14" t="s">
        <v>48</v>
      </c>
      <c r="C256" t="s">
        <v>443</v>
      </c>
      <c r="D256" s="14" t="s">
        <v>41</v>
      </c>
      <c r="E256" s="14" t="s">
        <v>23</v>
      </c>
      <c r="H256" s="14">
        <v>2</v>
      </c>
      <c r="I256" s="16"/>
      <c r="J256" s="17">
        <v>46209</v>
      </c>
      <c r="K256" s="31" t="s">
        <v>387</v>
      </c>
      <c r="L256" s="14" t="s">
        <v>444</v>
      </c>
      <c r="M256" t="s">
        <v>389</v>
      </c>
    </row>
    <row r="257" spans="2:13" hidden="1">
      <c r="B257" s="14" t="s">
        <v>48</v>
      </c>
      <c r="C257" t="s">
        <v>445</v>
      </c>
      <c r="D257" s="14" t="s">
        <v>41</v>
      </c>
      <c r="E257" s="14" t="s">
        <v>23</v>
      </c>
      <c r="H257" s="14">
        <v>2</v>
      </c>
      <c r="I257" s="16"/>
      <c r="J257" s="17">
        <v>46209</v>
      </c>
      <c r="K257" s="31" t="s">
        <v>387</v>
      </c>
      <c r="L257" s="14" t="s">
        <v>446</v>
      </c>
      <c r="M257" t="s">
        <v>389</v>
      </c>
    </row>
    <row r="258" spans="2:13" hidden="1">
      <c r="B258" s="3" t="s">
        <v>103</v>
      </c>
      <c r="C258" t="s">
        <v>367</v>
      </c>
      <c r="D258" s="3" t="s">
        <v>41</v>
      </c>
      <c r="E258" s="3" t="s">
        <v>23</v>
      </c>
      <c r="H258" s="3">
        <v>2</v>
      </c>
      <c r="I258" s="6"/>
      <c r="J258" s="17">
        <v>46209</v>
      </c>
      <c r="K258" s="31" t="s">
        <v>427</v>
      </c>
      <c r="L258" s="3" t="s">
        <v>447</v>
      </c>
      <c r="M258" t="s">
        <v>389</v>
      </c>
    </row>
    <row r="259" spans="2:13" hidden="1">
      <c r="B259" s="14" t="s">
        <v>103</v>
      </c>
      <c r="C259" t="s">
        <v>448</v>
      </c>
      <c r="D259" s="14" t="s">
        <v>41</v>
      </c>
      <c r="E259" s="14" t="s">
        <v>14</v>
      </c>
      <c r="H259" s="14">
        <v>1</v>
      </c>
      <c r="I259" s="16"/>
      <c r="J259" s="17">
        <v>46209</v>
      </c>
      <c r="K259" s="31"/>
      <c r="L259" s="14"/>
      <c r="M259" t="s">
        <v>389</v>
      </c>
    </row>
    <row r="260" spans="2:13" hidden="1">
      <c r="B260" s="14" t="s">
        <v>92</v>
      </c>
      <c r="C260" t="s">
        <v>449</v>
      </c>
      <c r="D260" s="14" t="s">
        <v>22</v>
      </c>
      <c r="E260" s="14" t="s">
        <v>23</v>
      </c>
      <c r="H260" s="14">
        <v>2</v>
      </c>
      <c r="I260" s="16"/>
      <c r="J260" s="17">
        <v>46209</v>
      </c>
      <c r="K260" s="31" t="s">
        <v>450</v>
      </c>
      <c r="L260" s="14" t="s">
        <v>451</v>
      </c>
      <c r="M260" t="s">
        <v>389</v>
      </c>
    </row>
    <row r="261" spans="2:13" hidden="1">
      <c r="B261" s="14" t="s">
        <v>12</v>
      </c>
      <c r="C261" t="s">
        <v>452</v>
      </c>
      <c r="D261" s="14" t="s">
        <v>22</v>
      </c>
      <c r="E261" s="14" t="s">
        <v>453</v>
      </c>
      <c r="H261" s="14">
        <v>8</v>
      </c>
      <c r="I261" s="16"/>
      <c r="J261" s="17"/>
      <c r="K261" s="17"/>
      <c r="L261" s="14"/>
      <c r="M261" t="s">
        <v>454</v>
      </c>
    </row>
    <row r="262" spans="2:13" hidden="1">
      <c r="B262" s="14" t="s">
        <v>396</v>
      </c>
      <c r="C262" t="s">
        <v>418</v>
      </c>
      <c r="D262" s="14" t="s">
        <v>41</v>
      </c>
      <c r="E262" s="14" t="s">
        <v>23</v>
      </c>
      <c r="H262" s="14">
        <v>2</v>
      </c>
      <c r="I262" s="16"/>
      <c r="J262" s="17">
        <v>46216</v>
      </c>
      <c r="K262" s="53">
        <v>1</v>
      </c>
      <c r="L262" s="14" t="s">
        <v>455</v>
      </c>
      <c r="M262" t="s">
        <v>389</v>
      </c>
    </row>
    <row r="263" spans="2:13" hidden="1">
      <c r="B263" s="14" t="s">
        <v>396</v>
      </c>
      <c r="C263" t="s">
        <v>456</v>
      </c>
      <c r="D263" s="14" t="s">
        <v>41</v>
      </c>
      <c r="E263" s="14" t="s">
        <v>23</v>
      </c>
      <c r="F263" s="52"/>
      <c r="G263" s="52"/>
      <c r="H263" s="14">
        <v>2</v>
      </c>
      <c r="I263" s="16"/>
      <c r="J263" s="17">
        <v>46216</v>
      </c>
      <c r="K263" s="53">
        <v>1</v>
      </c>
      <c r="L263" s="14" t="s">
        <v>457</v>
      </c>
      <c r="M263" t="s">
        <v>389</v>
      </c>
    </row>
    <row r="264" spans="2:13" hidden="1">
      <c r="B264" s="14" t="s">
        <v>396</v>
      </c>
      <c r="C264" t="s">
        <v>343</v>
      </c>
      <c r="D264" s="14" t="s">
        <v>41</v>
      </c>
      <c r="E264" s="14" t="s">
        <v>23</v>
      </c>
      <c r="H264" s="14">
        <v>2</v>
      </c>
      <c r="I264" s="16"/>
      <c r="J264" s="17">
        <v>46216</v>
      </c>
      <c r="K264" s="53">
        <v>1</v>
      </c>
      <c r="L264" s="14" t="s">
        <v>458</v>
      </c>
      <c r="M264" t="s">
        <v>389</v>
      </c>
    </row>
    <row r="265" spans="2:13" hidden="1">
      <c r="B265" s="14" t="s">
        <v>396</v>
      </c>
      <c r="C265" t="s">
        <v>459</v>
      </c>
      <c r="D265" s="14" t="s">
        <v>22</v>
      </c>
      <c r="E265" s="14" t="s">
        <v>14</v>
      </c>
      <c r="H265" s="28">
        <v>3</v>
      </c>
      <c r="I265" s="16"/>
      <c r="J265" s="17">
        <v>46216</v>
      </c>
      <c r="K265" s="53">
        <v>2</v>
      </c>
      <c r="L265" s="14" t="s">
        <v>460</v>
      </c>
      <c r="M265" t="s">
        <v>389</v>
      </c>
    </row>
    <row r="266" spans="2:13" hidden="1">
      <c r="B266" s="3" t="s">
        <v>403</v>
      </c>
      <c r="C266" t="s">
        <v>404</v>
      </c>
      <c r="D266" s="14" t="s">
        <v>41</v>
      </c>
      <c r="E266" s="14" t="s">
        <v>23</v>
      </c>
      <c r="H266" s="14">
        <v>2</v>
      </c>
      <c r="I266" s="6"/>
      <c r="J266" s="17">
        <v>46216</v>
      </c>
      <c r="K266" s="53">
        <v>2</v>
      </c>
      <c r="L266" s="3" t="s">
        <v>461</v>
      </c>
      <c r="M266" t="s">
        <v>389</v>
      </c>
    </row>
    <row r="267" spans="2:13" hidden="1">
      <c r="B267" s="3" t="s">
        <v>403</v>
      </c>
      <c r="C267" t="s">
        <v>406</v>
      </c>
      <c r="D267" s="14" t="s">
        <v>41</v>
      </c>
      <c r="E267" s="14" t="s">
        <v>23</v>
      </c>
      <c r="H267" s="14">
        <v>2</v>
      </c>
      <c r="I267" s="16"/>
      <c r="J267" s="17">
        <v>46216</v>
      </c>
      <c r="K267" s="55">
        <v>2</v>
      </c>
      <c r="L267" s="14" t="s">
        <v>462</v>
      </c>
      <c r="M267" t="s">
        <v>389</v>
      </c>
    </row>
    <row r="268" spans="2:13" hidden="1">
      <c r="B268" s="14" t="s">
        <v>403</v>
      </c>
      <c r="C268" t="s">
        <v>463</v>
      </c>
      <c r="D268" s="14" t="s">
        <v>41</v>
      </c>
      <c r="E268" s="14" t="s">
        <v>23</v>
      </c>
      <c r="H268" s="14">
        <v>2</v>
      </c>
      <c r="I268" s="16"/>
      <c r="J268" s="17">
        <v>46216</v>
      </c>
      <c r="K268" s="53">
        <v>1</v>
      </c>
      <c r="L268" s="14" t="s">
        <v>464</v>
      </c>
      <c r="M268" t="s">
        <v>389</v>
      </c>
    </row>
    <row r="269" spans="2:13" hidden="1">
      <c r="B269" s="14" t="s">
        <v>403</v>
      </c>
      <c r="C269" t="s">
        <v>465</v>
      </c>
      <c r="D269" s="14" t="s">
        <v>22</v>
      </c>
      <c r="E269" s="14" t="s">
        <v>14</v>
      </c>
      <c r="F269" s="52"/>
      <c r="G269" s="52"/>
      <c r="H269" s="14">
        <v>4</v>
      </c>
      <c r="I269" s="16"/>
      <c r="J269" s="17">
        <v>46216</v>
      </c>
      <c r="K269" s="53"/>
      <c r="L269" s="14" t="s">
        <v>466</v>
      </c>
      <c r="M269" t="s">
        <v>467</v>
      </c>
    </row>
    <row r="270" spans="2:13" hidden="1">
      <c r="B270" s="3" t="s">
        <v>411</v>
      </c>
      <c r="C270" t="s">
        <v>404</v>
      </c>
      <c r="D270" s="3" t="s">
        <v>41</v>
      </c>
      <c r="E270" s="3" t="s">
        <v>23</v>
      </c>
      <c r="H270" s="3">
        <v>2</v>
      </c>
      <c r="I270" s="6"/>
      <c r="J270" s="17">
        <v>46216</v>
      </c>
      <c r="K270" s="53">
        <v>2</v>
      </c>
      <c r="L270" s="3" t="s">
        <v>468</v>
      </c>
      <c r="M270" t="s">
        <v>389</v>
      </c>
    </row>
    <row r="271" spans="2:13" hidden="1">
      <c r="B271" s="14" t="s">
        <v>411</v>
      </c>
      <c r="C271" t="s">
        <v>406</v>
      </c>
      <c r="D271" s="14" t="s">
        <v>41</v>
      </c>
      <c r="E271" s="14" t="s">
        <v>23</v>
      </c>
      <c r="H271" s="14">
        <v>2</v>
      </c>
      <c r="I271" s="16"/>
      <c r="J271" s="17">
        <v>46216</v>
      </c>
      <c r="K271" s="55">
        <v>2</v>
      </c>
      <c r="L271" s="14" t="s">
        <v>469</v>
      </c>
      <c r="M271" t="s">
        <v>389</v>
      </c>
    </row>
    <row r="272" spans="2:13" hidden="1">
      <c r="B272" s="14" t="s">
        <v>411</v>
      </c>
      <c r="C272" t="s">
        <v>463</v>
      </c>
      <c r="D272" s="14" t="s">
        <v>41</v>
      </c>
      <c r="E272" s="14" t="s">
        <v>23</v>
      </c>
      <c r="F272" s="23">
        <v>2</v>
      </c>
      <c r="G272" s="23"/>
      <c r="H272" s="14">
        <v>2</v>
      </c>
      <c r="I272" s="16"/>
      <c r="J272" s="17">
        <v>46216</v>
      </c>
      <c r="K272" s="53">
        <v>1</v>
      </c>
      <c r="L272" s="14" t="s">
        <v>470</v>
      </c>
      <c r="M272" t="s">
        <v>389</v>
      </c>
    </row>
    <row r="273" spans="2:13" hidden="1">
      <c r="B273" s="3" t="s">
        <v>392</v>
      </c>
      <c r="C273" t="s">
        <v>418</v>
      </c>
      <c r="D273" s="14" t="s">
        <v>41</v>
      </c>
      <c r="E273" s="14" t="s">
        <v>23</v>
      </c>
      <c r="H273" s="3">
        <v>2</v>
      </c>
      <c r="I273" s="6"/>
      <c r="J273" s="17">
        <v>46216</v>
      </c>
      <c r="K273" s="53">
        <v>1</v>
      </c>
      <c r="L273" s="3" t="s">
        <v>471</v>
      </c>
      <c r="M273" t="s">
        <v>389</v>
      </c>
    </row>
    <row r="274" spans="2:13" hidden="1">
      <c r="B274" s="3" t="s">
        <v>392</v>
      </c>
      <c r="C274" t="s">
        <v>472</v>
      </c>
      <c r="D274" s="14" t="s">
        <v>41</v>
      </c>
      <c r="E274" s="14" t="s">
        <v>23</v>
      </c>
      <c r="H274" s="3">
        <v>2</v>
      </c>
      <c r="I274" s="6"/>
      <c r="J274" s="17">
        <v>46216</v>
      </c>
      <c r="K274" s="55">
        <v>1</v>
      </c>
      <c r="L274" s="3" t="s">
        <v>473</v>
      </c>
      <c r="M274" t="s">
        <v>389</v>
      </c>
    </row>
    <row r="275" spans="2:13" hidden="1">
      <c r="B275" s="3" t="s">
        <v>392</v>
      </c>
      <c r="C275" t="s">
        <v>343</v>
      </c>
      <c r="D275" s="14" t="s">
        <v>41</v>
      </c>
      <c r="E275" s="14" t="s">
        <v>23</v>
      </c>
      <c r="H275" s="14">
        <v>2</v>
      </c>
      <c r="I275" s="16"/>
      <c r="J275" s="17">
        <v>46216</v>
      </c>
      <c r="K275" s="55">
        <v>1</v>
      </c>
      <c r="L275" s="14" t="s">
        <v>471</v>
      </c>
      <c r="M275" t="s">
        <v>389</v>
      </c>
    </row>
    <row r="276" spans="2:13" hidden="1">
      <c r="B276" s="14" t="s">
        <v>392</v>
      </c>
      <c r="C276" t="s">
        <v>459</v>
      </c>
      <c r="D276" s="14" t="s">
        <v>22</v>
      </c>
      <c r="E276" s="14" t="s">
        <v>14</v>
      </c>
      <c r="H276" s="28">
        <v>3</v>
      </c>
      <c r="I276" s="16"/>
      <c r="J276" s="17">
        <v>46216</v>
      </c>
      <c r="K276" s="53">
        <v>2</v>
      </c>
      <c r="L276" s="14" t="s">
        <v>474</v>
      </c>
      <c r="M276" t="s">
        <v>389</v>
      </c>
    </row>
    <row r="277" spans="2:13" hidden="1">
      <c r="B277" s="3" t="s">
        <v>103</v>
      </c>
      <c r="C277" t="s">
        <v>475</v>
      </c>
      <c r="D277" s="3" t="s">
        <v>41</v>
      </c>
      <c r="E277" s="3" t="s">
        <v>14</v>
      </c>
      <c r="H277" s="3">
        <v>5</v>
      </c>
      <c r="I277" s="6"/>
      <c r="J277" s="17">
        <v>46216</v>
      </c>
      <c r="K277" s="53">
        <v>4</v>
      </c>
      <c r="L277" s="3" t="s">
        <v>476</v>
      </c>
      <c r="M277" t="s">
        <v>389</v>
      </c>
    </row>
    <row r="278" spans="2:13" hidden="1">
      <c r="B278" s="14" t="s">
        <v>103</v>
      </c>
      <c r="C278" t="s">
        <v>477</v>
      </c>
      <c r="D278" s="14" t="s">
        <v>41</v>
      </c>
      <c r="E278" s="14" t="s">
        <v>23</v>
      </c>
      <c r="H278" s="14">
        <v>4</v>
      </c>
      <c r="I278" s="16"/>
      <c r="J278" s="17">
        <v>46216</v>
      </c>
      <c r="K278" s="55">
        <v>6</v>
      </c>
      <c r="L278" s="14" t="s">
        <v>478</v>
      </c>
      <c r="M278" t="s">
        <v>389</v>
      </c>
    </row>
    <row r="279" spans="2:13" hidden="1">
      <c r="B279" s="14" t="s">
        <v>103</v>
      </c>
      <c r="C279" t="s">
        <v>479</v>
      </c>
      <c r="D279" s="14" t="s">
        <v>41</v>
      </c>
      <c r="E279" s="14" t="s">
        <v>23</v>
      </c>
      <c r="H279" s="14">
        <v>3</v>
      </c>
      <c r="I279" s="16"/>
      <c r="J279" s="17"/>
      <c r="K279" s="53"/>
      <c r="L279" s="14" t="s">
        <v>480</v>
      </c>
      <c r="M279" t="s">
        <v>467</v>
      </c>
    </row>
    <row r="280" spans="2:13" hidden="1">
      <c r="B280" s="14" t="s">
        <v>481</v>
      </c>
      <c r="C280" t="s">
        <v>482</v>
      </c>
      <c r="D280" s="14" t="s">
        <v>22</v>
      </c>
      <c r="E280" s="14" t="s">
        <v>408</v>
      </c>
      <c r="H280" s="14">
        <v>2</v>
      </c>
      <c r="I280" s="16"/>
      <c r="J280" s="17">
        <v>46216</v>
      </c>
      <c r="K280" s="53"/>
      <c r="L280" s="14"/>
      <c r="M280" t="s">
        <v>389</v>
      </c>
    </row>
    <row r="281" spans="2:13" hidden="1">
      <c r="B281" s="14" t="s">
        <v>349</v>
      </c>
      <c r="C281" t="s">
        <v>483</v>
      </c>
      <c r="D281" s="14" t="s">
        <v>41</v>
      </c>
      <c r="E281" s="14" t="s">
        <v>23</v>
      </c>
      <c r="H281" s="14">
        <v>8</v>
      </c>
      <c r="I281" s="16"/>
      <c r="J281" s="17">
        <v>46216</v>
      </c>
      <c r="K281" s="53">
        <v>5</v>
      </c>
      <c r="L281" s="14" t="s">
        <v>484</v>
      </c>
      <c r="M281" t="s">
        <v>389</v>
      </c>
    </row>
    <row r="282" spans="2:13" hidden="1">
      <c r="B282" s="14" t="s">
        <v>12</v>
      </c>
      <c r="C282" t="s">
        <v>485</v>
      </c>
      <c r="D282" s="14" t="s">
        <v>41</v>
      </c>
      <c r="E282" s="14" t="s">
        <v>408</v>
      </c>
      <c r="H282" s="14">
        <v>4</v>
      </c>
      <c r="I282" s="16"/>
      <c r="J282" s="17">
        <v>46216</v>
      </c>
      <c r="K282" s="53"/>
      <c r="L282" s="14" t="s">
        <v>486</v>
      </c>
      <c r="M282" t="s">
        <v>467</v>
      </c>
    </row>
    <row r="283" spans="2:13" hidden="1">
      <c r="B283" s="14" t="s">
        <v>12</v>
      </c>
      <c r="C283" t="s">
        <v>487</v>
      </c>
      <c r="D283" s="14" t="s">
        <v>41</v>
      </c>
      <c r="E283" s="14" t="s">
        <v>408</v>
      </c>
      <c r="H283" s="14">
        <v>4</v>
      </c>
      <c r="I283" s="16"/>
      <c r="J283" s="17">
        <v>46216</v>
      </c>
      <c r="K283" s="53"/>
      <c r="L283" s="14" t="s">
        <v>486</v>
      </c>
      <c r="M283" t="s">
        <v>467</v>
      </c>
    </row>
    <row r="284" spans="2:13" hidden="1">
      <c r="B284" s="3" t="s">
        <v>12</v>
      </c>
      <c r="C284" t="s">
        <v>488</v>
      </c>
      <c r="D284" s="3" t="s">
        <v>41</v>
      </c>
      <c r="E284" s="3" t="s">
        <v>408</v>
      </c>
      <c r="H284" s="3">
        <v>2</v>
      </c>
      <c r="I284" s="6"/>
      <c r="J284" s="17">
        <v>46216</v>
      </c>
      <c r="K284" s="53">
        <v>2</v>
      </c>
      <c r="L284" s="3" t="s">
        <v>489</v>
      </c>
      <c r="M284" t="s">
        <v>389</v>
      </c>
    </row>
    <row r="285" spans="2:13" hidden="1">
      <c r="B285" s="14" t="s">
        <v>12</v>
      </c>
      <c r="C285" t="s">
        <v>490</v>
      </c>
      <c r="D285" s="14" t="s">
        <v>41</v>
      </c>
      <c r="E285" s="14" t="s">
        <v>408</v>
      </c>
      <c r="H285" s="14">
        <v>2</v>
      </c>
      <c r="I285" s="16"/>
      <c r="J285" s="17">
        <v>46216</v>
      </c>
      <c r="K285" s="55">
        <v>2</v>
      </c>
      <c r="L285" s="3" t="s">
        <v>489</v>
      </c>
      <c r="M285" t="s">
        <v>389</v>
      </c>
    </row>
    <row r="286" spans="2:13" hidden="1">
      <c r="B286" s="14" t="s">
        <v>12</v>
      </c>
      <c r="C286" t="s">
        <v>491</v>
      </c>
      <c r="D286" s="14" t="s">
        <v>41</v>
      </c>
      <c r="E286" s="14" t="s">
        <v>408</v>
      </c>
      <c r="H286" s="14">
        <v>2</v>
      </c>
      <c r="I286" s="16"/>
      <c r="J286" s="17">
        <v>46216</v>
      </c>
      <c r="K286" s="53">
        <v>2</v>
      </c>
      <c r="L286" s="14" t="s">
        <v>492</v>
      </c>
      <c r="M286" t="s">
        <v>389</v>
      </c>
    </row>
    <row r="287" spans="2:13" hidden="1">
      <c r="B287" s="14" t="s">
        <v>12</v>
      </c>
      <c r="C287" t="s">
        <v>493</v>
      </c>
      <c r="D287" s="14" t="s">
        <v>41</v>
      </c>
      <c r="E287" s="14" t="s">
        <v>408</v>
      </c>
      <c r="H287" s="14">
        <v>2</v>
      </c>
      <c r="I287" s="16"/>
      <c r="J287" s="17">
        <v>46216</v>
      </c>
      <c r="K287" s="53">
        <v>2</v>
      </c>
      <c r="L287" s="14" t="s">
        <v>492</v>
      </c>
      <c r="M287" t="s">
        <v>389</v>
      </c>
    </row>
    <row r="288" spans="2:13" hidden="1">
      <c r="B288" s="14" t="s">
        <v>494</v>
      </c>
      <c r="C288" t="s">
        <v>435</v>
      </c>
      <c r="D288" s="14" t="s">
        <v>41</v>
      </c>
      <c r="E288" s="14" t="s">
        <v>23</v>
      </c>
      <c r="F288" s="23">
        <v>6</v>
      </c>
      <c r="G288" s="23"/>
      <c r="H288" s="14">
        <v>6</v>
      </c>
      <c r="I288" s="16"/>
      <c r="J288" s="17">
        <v>46216</v>
      </c>
      <c r="K288" s="57">
        <v>4</v>
      </c>
      <c r="L288" s="14" t="s">
        <v>102</v>
      </c>
      <c r="M288" t="s">
        <v>389</v>
      </c>
    </row>
    <row r="289" spans="2:13" ht="129.6" hidden="1">
      <c r="B289" s="14" t="s">
        <v>39</v>
      </c>
      <c r="C289" t="s">
        <v>435</v>
      </c>
      <c r="D289" s="14" t="s">
        <v>41</v>
      </c>
      <c r="E289" s="14" t="s">
        <v>23</v>
      </c>
      <c r="H289" s="14">
        <v>12</v>
      </c>
      <c r="I289" s="16"/>
      <c r="J289" s="17">
        <v>46216</v>
      </c>
      <c r="K289" s="54">
        <v>4</v>
      </c>
      <c r="L289" s="16" t="s">
        <v>495</v>
      </c>
      <c r="M289" t="s">
        <v>389</v>
      </c>
    </row>
    <row r="290" spans="2:13" hidden="1">
      <c r="B290" s="14" t="s">
        <v>39</v>
      </c>
      <c r="C290" t="s">
        <v>496</v>
      </c>
      <c r="D290" s="14" t="s">
        <v>22</v>
      </c>
      <c r="E290" s="14" t="s">
        <v>14</v>
      </c>
      <c r="H290" s="14">
        <v>12</v>
      </c>
      <c r="I290" s="16"/>
      <c r="J290" s="17">
        <v>46216</v>
      </c>
      <c r="K290" s="53">
        <v>12</v>
      </c>
      <c r="L290" s="14" t="s">
        <v>497</v>
      </c>
      <c r="M290" t="s">
        <v>389</v>
      </c>
    </row>
    <row r="291" spans="2:13" hidden="1">
      <c r="B291" s="14" t="s">
        <v>403</v>
      </c>
      <c r="C291" s="51" t="s">
        <v>498</v>
      </c>
      <c r="D291" s="14" t="s">
        <v>22</v>
      </c>
      <c r="E291" s="14" t="s">
        <v>14</v>
      </c>
      <c r="H291" s="14">
        <v>4</v>
      </c>
      <c r="I291" s="16"/>
      <c r="J291" s="17"/>
      <c r="K291" s="17"/>
      <c r="L291" s="14"/>
      <c r="M291" t="s">
        <v>454</v>
      </c>
    </row>
    <row r="292" spans="2:13" hidden="1">
      <c r="B292" s="14" t="s">
        <v>39</v>
      </c>
      <c r="C292" t="s">
        <v>499</v>
      </c>
      <c r="D292" s="14" t="s">
        <v>22</v>
      </c>
      <c r="E292" s="14" t="s">
        <v>14</v>
      </c>
      <c r="H292" s="14">
        <v>2</v>
      </c>
      <c r="I292" s="16"/>
      <c r="J292" s="17">
        <v>46216</v>
      </c>
      <c r="K292" s="53"/>
      <c r="L292" s="14" t="s">
        <v>466</v>
      </c>
      <c r="M292" t="s">
        <v>467</v>
      </c>
    </row>
    <row r="293" spans="2:13" hidden="1">
      <c r="B293" s="14" t="s">
        <v>39</v>
      </c>
      <c r="C293" t="s">
        <v>500</v>
      </c>
      <c r="D293" s="14" t="s">
        <v>22</v>
      </c>
      <c r="E293" s="14" t="s">
        <v>408</v>
      </c>
      <c r="H293" s="14">
        <v>1</v>
      </c>
      <c r="I293" s="16"/>
      <c r="J293" s="17">
        <v>46216</v>
      </c>
      <c r="K293" s="56" t="s">
        <v>332</v>
      </c>
      <c r="L293" s="14" t="s">
        <v>501</v>
      </c>
      <c r="M293" t="s">
        <v>389</v>
      </c>
    </row>
    <row r="294" spans="2:13" hidden="1">
      <c r="B294" s="14" t="s">
        <v>39</v>
      </c>
      <c r="C294" t="s">
        <v>502</v>
      </c>
      <c r="D294" s="14" t="s">
        <v>22</v>
      </c>
      <c r="E294" s="14" t="s">
        <v>14</v>
      </c>
      <c r="H294" s="28">
        <v>2</v>
      </c>
      <c r="I294" s="16"/>
      <c r="J294" s="17">
        <v>46216</v>
      </c>
      <c r="K294" s="53"/>
      <c r="L294" s="14"/>
      <c r="M294" t="s">
        <v>454</v>
      </c>
    </row>
    <row r="295" spans="2:13" hidden="1">
      <c r="B295" s="14" t="s">
        <v>278</v>
      </c>
      <c r="C295" t="s">
        <v>404</v>
      </c>
      <c r="D295" s="14" t="s">
        <v>41</v>
      </c>
      <c r="E295" s="14" t="s">
        <v>23</v>
      </c>
      <c r="H295" s="3">
        <v>2</v>
      </c>
      <c r="I295" s="6"/>
      <c r="J295" s="17">
        <v>46216</v>
      </c>
      <c r="K295" s="53">
        <v>2</v>
      </c>
      <c r="L295" s="3" t="s">
        <v>503</v>
      </c>
      <c r="M295" t="s">
        <v>389</v>
      </c>
    </row>
    <row r="296" spans="2:13" hidden="1">
      <c r="B296" s="14" t="s">
        <v>278</v>
      </c>
      <c r="C296" t="s">
        <v>406</v>
      </c>
      <c r="D296" s="14" t="s">
        <v>41</v>
      </c>
      <c r="E296" s="14" t="s">
        <v>23</v>
      </c>
      <c r="H296" s="3">
        <v>2</v>
      </c>
      <c r="I296" s="6"/>
      <c r="J296" s="17">
        <v>46216</v>
      </c>
      <c r="K296" s="55">
        <v>2</v>
      </c>
      <c r="L296" s="3" t="s">
        <v>503</v>
      </c>
      <c r="M296" t="s">
        <v>389</v>
      </c>
    </row>
    <row r="297" spans="2:13" hidden="1">
      <c r="B297" s="14" t="s">
        <v>39</v>
      </c>
      <c r="C297" t="s">
        <v>504</v>
      </c>
      <c r="D297" s="14" t="s">
        <v>41</v>
      </c>
      <c r="E297" s="14"/>
      <c r="H297" s="14"/>
      <c r="I297" s="16"/>
      <c r="J297" s="17"/>
      <c r="K297" s="17"/>
      <c r="L297" s="14"/>
    </row>
    <row r="298" spans="2:13" hidden="1">
      <c r="B298" s="14" t="s">
        <v>278</v>
      </c>
      <c r="C298" t="s">
        <v>463</v>
      </c>
      <c r="D298" s="14" t="s">
        <v>41</v>
      </c>
      <c r="E298" s="14" t="s">
        <v>23</v>
      </c>
      <c r="H298" s="3">
        <v>2</v>
      </c>
      <c r="I298" s="16"/>
      <c r="J298" s="17">
        <v>46216</v>
      </c>
      <c r="K298" s="53">
        <v>2</v>
      </c>
      <c r="L298" s="14" t="s">
        <v>503</v>
      </c>
      <c r="M298" t="s">
        <v>389</v>
      </c>
    </row>
    <row r="299" spans="2:13" hidden="1">
      <c r="B299" s="14" t="s">
        <v>278</v>
      </c>
      <c r="C299" t="s">
        <v>505</v>
      </c>
      <c r="D299" s="14" t="s">
        <v>41</v>
      </c>
      <c r="E299" s="14" t="s">
        <v>14</v>
      </c>
      <c r="H299" s="3">
        <v>2</v>
      </c>
      <c r="I299" s="16"/>
      <c r="J299" s="17">
        <v>46216</v>
      </c>
      <c r="K299" s="53">
        <v>4</v>
      </c>
      <c r="L299" s="14" t="s">
        <v>506</v>
      </c>
      <c r="M299" t="s">
        <v>389</v>
      </c>
    </row>
    <row r="300" spans="2:13" hidden="1">
      <c r="B300" s="14" t="s">
        <v>92</v>
      </c>
      <c r="C300" t="s">
        <v>507</v>
      </c>
      <c r="D300" s="14" t="s">
        <v>22</v>
      </c>
      <c r="E300" s="14" t="s">
        <v>23</v>
      </c>
      <c r="H300" s="14">
        <v>1</v>
      </c>
      <c r="I300" s="16"/>
      <c r="J300" s="17">
        <v>46216</v>
      </c>
      <c r="K300" s="17"/>
      <c r="L300" s="14" t="s">
        <v>503</v>
      </c>
      <c r="M300" t="s">
        <v>389</v>
      </c>
    </row>
    <row r="301" spans="2:13" hidden="1">
      <c r="B301" s="14" t="s">
        <v>92</v>
      </c>
      <c r="C301" t="s">
        <v>508</v>
      </c>
      <c r="D301" s="14" t="s">
        <v>41</v>
      </c>
      <c r="E301" s="14" t="s">
        <v>23</v>
      </c>
      <c r="H301" s="14">
        <v>6</v>
      </c>
      <c r="I301" s="16"/>
      <c r="J301" s="17">
        <v>46216</v>
      </c>
      <c r="K301" s="17"/>
      <c r="L301" s="14"/>
      <c r="M301" t="s">
        <v>454</v>
      </c>
    </row>
    <row r="302" spans="2:13" hidden="1">
      <c r="B302" s="14" t="s">
        <v>396</v>
      </c>
      <c r="C302" t="s">
        <v>509</v>
      </c>
      <c r="D302" s="14" t="s">
        <v>41</v>
      </c>
      <c r="E302" s="14" t="s">
        <v>408</v>
      </c>
      <c r="H302" s="14">
        <v>2</v>
      </c>
      <c r="I302" s="16"/>
      <c r="J302" s="17">
        <v>46216</v>
      </c>
      <c r="K302" s="58" t="s">
        <v>50</v>
      </c>
      <c r="L302" s="14" t="s">
        <v>510</v>
      </c>
      <c r="M302" t="s">
        <v>389</v>
      </c>
    </row>
    <row r="303" spans="2:13" hidden="1">
      <c r="B303" s="14" t="s">
        <v>392</v>
      </c>
      <c r="C303" t="s">
        <v>511</v>
      </c>
      <c r="D303" s="14" t="s">
        <v>41</v>
      </c>
      <c r="E303" s="14" t="s">
        <v>408</v>
      </c>
      <c r="H303" s="14">
        <v>2</v>
      </c>
      <c r="I303" s="16"/>
      <c r="J303" s="17">
        <v>46216</v>
      </c>
      <c r="K303" s="58" t="s">
        <v>50</v>
      </c>
      <c r="L303" s="14" t="s">
        <v>512</v>
      </c>
      <c r="M303" t="s">
        <v>389</v>
      </c>
    </row>
    <row r="304" spans="2:13" hidden="1">
      <c r="B304" s="14" t="s">
        <v>39</v>
      </c>
      <c r="C304" t="s">
        <v>513</v>
      </c>
      <c r="D304" s="14" t="s">
        <v>22</v>
      </c>
      <c r="E304" s="14" t="s">
        <v>453</v>
      </c>
      <c r="F304" s="28">
        <v>2</v>
      </c>
      <c r="G304" s="28">
        <v>1</v>
      </c>
      <c r="H304" s="14">
        <v>1</v>
      </c>
      <c r="I304" s="16"/>
      <c r="J304" s="17">
        <v>46223</v>
      </c>
      <c r="K304" s="53"/>
      <c r="L304" s="14"/>
      <c r="M304" t="s">
        <v>389</v>
      </c>
    </row>
    <row r="305" spans="2:13" hidden="1">
      <c r="B305" s="14" t="s">
        <v>39</v>
      </c>
      <c r="C305" s="65" t="s">
        <v>514</v>
      </c>
      <c r="D305" s="14" t="s">
        <v>22</v>
      </c>
      <c r="E305" s="14" t="s">
        <v>453</v>
      </c>
      <c r="G305">
        <v>2</v>
      </c>
      <c r="H305" s="14">
        <v>12</v>
      </c>
      <c r="I305" s="16"/>
      <c r="J305" s="17">
        <v>46223</v>
      </c>
      <c r="K305" s="53">
        <v>12</v>
      </c>
      <c r="L305" s="14" t="s">
        <v>515</v>
      </c>
      <c r="M305" t="s">
        <v>389</v>
      </c>
    </row>
    <row r="306" spans="2:13" hidden="1">
      <c r="B306" s="14" t="s">
        <v>516</v>
      </c>
      <c r="C306" s="65" t="s">
        <v>517</v>
      </c>
      <c r="D306" s="14" t="s">
        <v>22</v>
      </c>
      <c r="E306" s="14" t="s">
        <v>453</v>
      </c>
      <c r="G306">
        <v>1</v>
      </c>
      <c r="H306" s="14">
        <v>1</v>
      </c>
      <c r="I306" s="16"/>
      <c r="J306" s="17">
        <v>46223</v>
      </c>
      <c r="K306" s="53"/>
      <c r="L306" s="14"/>
      <c r="M306" t="s">
        <v>389</v>
      </c>
    </row>
    <row r="307" spans="2:13" hidden="1">
      <c r="B307" s="14" t="s">
        <v>516</v>
      </c>
      <c r="C307" s="65" t="s">
        <v>518</v>
      </c>
      <c r="D307" s="14" t="s">
        <v>22</v>
      </c>
      <c r="E307" s="14" t="s">
        <v>453</v>
      </c>
      <c r="G307">
        <v>1</v>
      </c>
      <c r="H307" s="14">
        <v>1</v>
      </c>
      <c r="I307" s="16"/>
      <c r="J307" s="17">
        <v>46223</v>
      </c>
      <c r="K307" s="53"/>
      <c r="L307" s="14"/>
      <c r="M307" t="s">
        <v>389</v>
      </c>
    </row>
    <row r="308" spans="2:13" hidden="1">
      <c r="B308" s="14" t="s">
        <v>519</v>
      </c>
      <c r="C308" t="s">
        <v>520</v>
      </c>
      <c r="D308" s="14" t="s">
        <v>22</v>
      </c>
      <c r="E308" s="14" t="s">
        <v>453</v>
      </c>
      <c r="G308">
        <v>1</v>
      </c>
      <c r="H308" s="28">
        <v>0.75</v>
      </c>
      <c r="I308" s="16"/>
      <c r="J308" s="17">
        <v>46223</v>
      </c>
      <c r="K308" s="53"/>
      <c r="L308" s="14"/>
      <c r="M308" t="s">
        <v>389</v>
      </c>
    </row>
    <row r="309" spans="2:13" hidden="1">
      <c r="B309" s="14" t="s">
        <v>39</v>
      </c>
      <c r="C309" t="s">
        <v>242</v>
      </c>
      <c r="D309" s="14" t="s">
        <v>41</v>
      </c>
      <c r="E309" s="14" t="s">
        <v>23</v>
      </c>
      <c r="G309">
        <v>1</v>
      </c>
      <c r="H309" s="14">
        <v>4</v>
      </c>
      <c r="I309" s="16"/>
      <c r="J309" s="17">
        <v>46223</v>
      </c>
      <c r="K309" s="53">
        <v>4</v>
      </c>
      <c r="L309" s="14" t="s">
        <v>521</v>
      </c>
      <c r="M309" t="s">
        <v>389</v>
      </c>
    </row>
    <row r="310" spans="2:13" hidden="1">
      <c r="B310" s="14" t="s">
        <v>103</v>
      </c>
      <c r="C310" t="s">
        <v>522</v>
      </c>
      <c r="D310" s="14" t="s">
        <v>41</v>
      </c>
      <c r="E310" s="14" t="s">
        <v>23</v>
      </c>
      <c r="G310">
        <v>1</v>
      </c>
      <c r="H310" s="14">
        <v>0.75</v>
      </c>
      <c r="I310" s="16"/>
      <c r="J310" s="17">
        <v>46223</v>
      </c>
      <c r="K310" s="53"/>
      <c r="L310" s="14" t="s">
        <v>523</v>
      </c>
      <c r="M310" t="s">
        <v>389</v>
      </c>
    </row>
    <row r="311" spans="2:13" hidden="1">
      <c r="B311" s="14" t="s">
        <v>411</v>
      </c>
      <c r="C311" s="14" t="s">
        <v>404</v>
      </c>
      <c r="D311" s="14" t="s">
        <v>41</v>
      </c>
      <c r="E311" s="14" t="s">
        <v>23</v>
      </c>
      <c r="G311">
        <v>1</v>
      </c>
      <c r="H311" s="14">
        <v>0.5</v>
      </c>
      <c r="I311" s="16"/>
      <c r="J311" s="17">
        <v>46230</v>
      </c>
      <c r="K311" s="53"/>
      <c r="L311" s="14"/>
      <c r="M311" t="s">
        <v>454</v>
      </c>
    </row>
    <row r="312" spans="2:13" hidden="1">
      <c r="B312" s="14" t="s">
        <v>411</v>
      </c>
      <c r="C312" s="14" t="s">
        <v>524</v>
      </c>
      <c r="D312" s="14" t="s">
        <v>41</v>
      </c>
      <c r="E312" s="14" t="s">
        <v>23</v>
      </c>
      <c r="G312">
        <v>1</v>
      </c>
      <c r="H312" s="28">
        <v>0.33</v>
      </c>
      <c r="I312" s="16"/>
      <c r="J312" s="17">
        <v>46230</v>
      </c>
      <c r="K312" s="53"/>
      <c r="L312" s="14"/>
      <c r="M312" t="s">
        <v>454</v>
      </c>
    </row>
    <row r="313" spans="2:13" hidden="1">
      <c r="B313" s="14" t="s">
        <v>411</v>
      </c>
      <c r="C313" s="14" t="s">
        <v>525</v>
      </c>
      <c r="D313" s="14" t="s">
        <v>41</v>
      </c>
      <c r="E313" s="14" t="s">
        <v>23</v>
      </c>
      <c r="G313">
        <v>1</v>
      </c>
      <c r="H313" s="28">
        <v>0.33</v>
      </c>
      <c r="I313" s="16"/>
      <c r="J313" s="17">
        <v>46230</v>
      </c>
      <c r="K313" s="53"/>
      <c r="L313" s="14"/>
      <c r="M313" t="s">
        <v>454</v>
      </c>
    </row>
    <row r="314" spans="2:13" hidden="1">
      <c r="B314" s="14" t="s">
        <v>411</v>
      </c>
      <c r="C314" s="14" t="s">
        <v>526</v>
      </c>
      <c r="D314" s="14" t="s">
        <v>41</v>
      </c>
      <c r="E314" s="14" t="s">
        <v>23</v>
      </c>
      <c r="G314">
        <v>1</v>
      </c>
      <c r="H314" s="14">
        <v>2</v>
      </c>
      <c r="I314" s="16"/>
      <c r="J314" s="17">
        <v>46230</v>
      </c>
      <c r="K314" s="53"/>
      <c r="L314" s="14"/>
      <c r="M314" t="s">
        <v>454</v>
      </c>
    </row>
    <row r="315" spans="2:13" hidden="1">
      <c r="B315" s="14" t="s">
        <v>411</v>
      </c>
      <c r="C315" s="14" t="s">
        <v>527</v>
      </c>
      <c r="D315" s="14" t="s">
        <v>41</v>
      </c>
      <c r="E315" s="14" t="s">
        <v>23</v>
      </c>
      <c r="G315">
        <v>1</v>
      </c>
      <c r="H315" s="28">
        <v>0.75</v>
      </c>
      <c r="I315" s="16"/>
      <c r="J315" s="17">
        <v>46230</v>
      </c>
      <c r="K315" s="53"/>
      <c r="L315" s="14"/>
      <c r="M315" t="s">
        <v>454</v>
      </c>
    </row>
    <row r="316" spans="2:13" hidden="1">
      <c r="B316" s="14" t="s">
        <v>411</v>
      </c>
      <c r="C316" s="14" t="s">
        <v>528</v>
      </c>
      <c r="D316" s="14" t="s">
        <v>41</v>
      </c>
      <c r="E316" s="14" t="s">
        <v>23</v>
      </c>
      <c r="G316">
        <v>1</v>
      </c>
      <c r="H316" s="28">
        <v>1</v>
      </c>
      <c r="I316" s="16"/>
      <c r="J316" s="17">
        <v>46230</v>
      </c>
      <c r="K316" s="53"/>
      <c r="L316" s="14"/>
      <c r="M316" t="s">
        <v>454</v>
      </c>
    </row>
    <row r="317" spans="2:13" hidden="1">
      <c r="B317" s="14" t="s">
        <v>306</v>
      </c>
      <c r="C317" s="14" t="s">
        <v>529</v>
      </c>
      <c r="D317" s="14" t="s">
        <v>41</v>
      </c>
      <c r="E317" s="14" t="s">
        <v>23</v>
      </c>
      <c r="G317">
        <v>1</v>
      </c>
      <c r="H317" s="14">
        <v>2</v>
      </c>
      <c r="I317" s="16"/>
      <c r="J317" s="17">
        <v>46230</v>
      </c>
      <c r="K317" s="53"/>
      <c r="L317" s="14"/>
      <c r="M317" t="s">
        <v>454</v>
      </c>
    </row>
    <row r="318" spans="2:13" hidden="1">
      <c r="B318" s="14" t="s">
        <v>306</v>
      </c>
      <c r="C318" s="14" t="s">
        <v>530</v>
      </c>
      <c r="D318" s="14" t="s">
        <v>41</v>
      </c>
      <c r="E318" s="14" t="s">
        <v>23</v>
      </c>
      <c r="G318">
        <v>1</v>
      </c>
      <c r="H318" s="14">
        <v>1.5</v>
      </c>
      <c r="I318" s="16"/>
      <c r="J318" s="17">
        <v>46230</v>
      </c>
      <c r="K318" s="53"/>
      <c r="L318" s="14"/>
      <c r="M318" t="s">
        <v>454</v>
      </c>
    </row>
    <row r="319" spans="2:13" hidden="1">
      <c r="B319" s="14" t="s">
        <v>306</v>
      </c>
      <c r="C319" t="s">
        <v>531</v>
      </c>
      <c r="D319" s="14" t="s">
        <v>41</v>
      </c>
      <c r="E319" s="14" t="s">
        <v>23</v>
      </c>
      <c r="G319">
        <v>1</v>
      </c>
      <c r="H319" s="14">
        <v>1</v>
      </c>
      <c r="I319" s="16"/>
      <c r="J319" s="17">
        <v>46230</v>
      </c>
      <c r="K319" s="53"/>
      <c r="L319" s="14"/>
      <c r="M319" t="s">
        <v>454</v>
      </c>
    </row>
    <row r="320" spans="2:13" hidden="1">
      <c r="B320" s="14" t="s">
        <v>306</v>
      </c>
      <c r="C320" t="s">
        <v>532</v>
      </c>
      <c r="D320" s="14" t="s">
        <v>41</v>
      </c>
      <c r="E320" s="14" t="s">
        <v>23</v>
      </c>
      <c r="G320">
        <v>1</v>
      </c>
      <c r="H320" s="28">
        <v>0.25</v>
      </c>
      <c r="I320" s="16"/>
      <c r="J320" s="17">
        <v>46230</v>
      </c>
      <c r="K320" s="53"/>
      <c r="L320" s="14"/>
      <c r="M320" t="s">
        <v>454</v>
      </c>
    </row>
    <row r="321" spans="2:13" hidden="1">
      <c r="B321" s="14" t="s">
        <v>306</v>
      </c>
      <c r="C321" t="s">
        <v>533</v>
      </c>
      <c r="D321" s="14" t="s">
        <v>41</v>
      </c>
      <c r="E321" s="14" t="s">
        <v>23</v>
      </c>
      <c r="G321">
        <v>1</v>
      </c>
      <c r="H321" s="28">
        <v>0.25</v>
      </c>
      <c r="I321" s="16"/>
      <c r="J321" s="17">
        <v>46230</v>
      </c>
      <c r="K321" s="53"/>
      <c r="L321" s="14"/>
      <c r="M321" t="s">
        <v>454</v>
      </c>
    </row>
    <row r="322" spans="2:13" hidden="1">
      <c r="B322" s="3" t="s">
        <v>58</v>
      </c>
      <c r="C322" s="23" t="s">
        <v>534</v>
      </c>
      <c r="D322" s="14" t="s">
        <v>41</v>
      </c>
      <c r="E322" s="14" t="s">
        <v>23</v>
      </c>
      <c r="G322">
        <v>1</v>
      </c>
      <c r="H322" s="14">
        <v>2</v>
      </c>
      <c r="I322" s="6"/>
      <c r="J322" s="17">
        <v>46230</v>
      </c>
      <c r="K322" s="53"/>
      <c r="L322" s="3"/>
      <c r="M322" t="s">
        <v>454</v>
      </c>
    </row>
    <row r="323" spans="2:13" hidden="1">
      <c r="B323" s="3" t="s">
        <v>58</v>
      </c>
      <c r="C323" t="s">
        <v>530</v>
      </c>
      <c r="D323" s="14" t="s">
        <v>41</v>
      </c>
      <c r="E323" s="14" t="s">
        <v>23</v>
      </c>
      <c r="G323">
        <v>1</v>
      </c>
      <c r="H323" s="14">
        <v>1.5</v>
      </c>
      <c r="I323" s="6"/>
      <c r="J323" s="17">
        <v>46230</v>
      </c>
      <c r="K323" s="55">
        <v>2</v>
      </c>
      <c r="L323" s="3"/>
      <c r="M323" t="s">
        <v>389</v>
      </c>
    </row>
    <row r="324" spans="2:13" hidden="1">
      <c r="B324" s="3" t="s">
        <v>58</v>
      </c>
      <c r="C324" t="s">
        <v>535</v>
      </c>
      <c r="D324" s="14" t="s">
        <v>41</v>
      </c>
      <c r="E324" s="14" t="s">
        <v>23</v>
      </c>
      <c r="G324">
        <v>1</v>
      </c>
      <c r="H324" s="14">
        <v>1</v>
      </c>
      <c r="I324" s="6"/>
      <c r="J324" s="17">
        <v>46230</v>
      </c>
      <c r="K324" s="55"/>
      <c r="L324" s="3"/>
      <c r="M324" t="s">
        <v>454</v>
      </c>
    </row>
    <row r="325" spans="2:13" hidden="1">
      <c r="B325" s="3" t="s">
        <v>58</v>
      </c>
      <c r="C325" t="s">
        <v>532</v>
      </c>
      <c r="D325" s="14" t="s">
        <v>41</v>
      </c>
      <c r="E325" s="14" t="s">
        <v>23</v>
      </c>
      <c r="G325">
        <v>1</v>
      </c>
      <c r="H325" s="28">
        <v>0.25</v>
      </c>
      <c r="I325" s="6"/>
      <c r="J325" s="17">
        <v>46230</v>
      </c>
      <c r="K325" s="55"/>
      <c r="L325" s="3"/>
      <c r="M325" t="s">
        <v>454</v>
      </c>
    </row>
    <row r="326" spans="2:13" hidden="1">
      <c r="B326" s="3" t="s">
        <v>58</v>
      </c>
      <c r="C326" t="s">
        <v>533</v>
      </c>
      <c r="D326" s="14" t="s">
        <v>41</v>
      </c>
      <c r="E326" s="14" t="s">
        <v>23</v>
      </c>
      <c r="G326">
        <v>1</v>
      </c>
      <c r="H326" s="28">
        <v>0.25</v>
      </c>
      <c r="I326" s="16"/>
      <c r="J326" s="17">
        <v>46230</v>
      </c>
      <c r="K326" s="55"/>
      <c r="L326" s="14"/>
      <c r="M326" t="s">
        <v>454</v>
      </c>
    </row>
    <row r="327" spans="2:13" hidden="1">
      <c r="B327" s="3" t="s">
        <v>12</v>
      </c>
      <c r="C327" s="65" t="s">
        <v>536</v>
      </c>
      <c r="D327" s="14" t="s">
        <v>41</v>
      </c>
      <c r="E327" s="14" t="s">
        <v>453</v>
      </c>
      <c r="G327">
        <v>2</v>
      </c>
      <c r="H327" s="3">
        <v>8</v>
      </c>
      <c r="I327" s="6"/>
      <c r="J327" s="17">
        <v>46223</v>
      </c>
      <c r="K327" s="55"/>
      <c r="L327" s="3"/>
      <c r="M327" t="s">
        <v>389</v>
      </c>
    </row>
    <row r="328" spans="2:13" hidden="1">
      <c r="B328" s="14" t="s">
        <v>12</v>
      </c>
      <c r="C328" t="s">
        <v>537</v>
      </c>
      <c r="D328" s="14" t="s">
        <v>41</v>
      </c>
      <c r="E328" s="14" t="s">
        <v>23</v>
      </c>
      <c r="G328">
        <v>1</v>
      </c>
      <c r="H328" s="14">
        <v>1</v>
      </c>
      <c r="I328" s="16"/>
      <c r="J328" s="17">
        <v>46223</v>
      </c>
      <c r="K328" s="55">
        <v>0.83</v>
      </c>
      <c r="L328" s="14" t="s">
        <v>538</v>
      </c>
      <c r="M328" t="s">
        <v>389</v>
      </c>
    </row>
    <row r="329" spans="2:13" hidden="1">
      <c r="B329" s="14" t="s">
        <v>12</v>
      </c>
      <c r="C329" t="s">
        <v>539</v>
      </c>
      <c r="D329" s="14" t="s">
        <v>41</v>
      </c>
      <c r="E329" s="14" t="s">
        <v>23</v>
      </c>
      <c r="G329">
        <v>1</v>
      </c>
      <c r="H329" s="14">
        <v>1</v>
      </c>
      <c r="I329" s="16"/>
      <c r="J329" s="17">
        <v>46223</v>
      </c>
      <c r="K329" s="53">
        <v>0.83</v>
      </c>
      <c r="L329" s="14" t="s">
        <v>540</v>
      </c>
      <c r="M329" t="s">
        <v>389</v>
      </c>
    </row>
    <row r="330" spans="2:13" hidden="1">
      <c r="B330" s="14" t="s">
        <v>12</v>
      </c>
      <c r="C330" s="65" t="s">
        <v>541</v>
      </c>
      <c r="D330" s="14" t="s">
        <v>41</v>
      </c>
      <c r="E330" s="14" t="s">
        <v>23</v>
      </c>
      <c r="G330">
        <v>1</v>
      </c>
      <c r="H330" s="14">
        <v>2</v>
      </c>
      <c r="I330" s="16"/>
      <c r="J330" s="17">
        <v>46223</v>
      </c>
      <c r="K330" s="53">
        <v>0.83</v>
      </c>
      <c r="L330" s="14" t="s">
        <v>542</v>
      </c>
      <c r="M330" t="s">
        <v>16</v>
      </c>
    </row>
    <row r="331" spans="2:13" hidden="1">
      <c r="B331" s="14" t="s">
        <v>12</v>
      </c>
      <c r="C331" t="s">
        <v>543</v>
      </c>
      <c r="D331" s="14" t="s">
        <v>41</v>
      </c>
      <c r="E331" s="14" t="s">
        <v>23</v>
      </c>
      <c r="G331">
        <v>1</v>
      </c>
      <c r="H331" s="14">
        <v>1</v>
      </c>
      <c r="I331" s="16"/>
      <c r="J331" s="17">
        <v>46223</v>
      </c>
      <c r="K331" s="53">
        <v>0.83</v>
      </c>
      <c r="L331" s="14" t="s">
        <v>544</v>
      </c>
      <c r="M331" t="s">
        <v>16</v>
      </c>
    </row>
    <row r="332" spans="2:13" hidden="1">
      <c r="B332" s="14" t="s">
        <v>92</v>
      </c>
      <c r="C332" t="s">
        <v>545</v>
      </c>
      <c r="D332" s="14" t="s">
        <v>41</v>
      </c>
      <c r="E332" s="14" t="s">
        <v>23</v>
      </c>
      <c r="G332">
        <v>2</v>
      </c>
      <c r="H332" s="14">
        <v>2</v>
      </c>
      <c r="I332" s="16"/>
      <c r="J332" s="17">
        <v>46230</v>
      </c>
      <c r="K332" s="53"/>
      <c r="L332" s="14"/>
      <c r="M332" t="s">
        <v>389</v>
      </c>
    </row>
    <row r="333" spans="2:13" hidden="1">
      <c r="B333" s="14" t="s">
        <v>92</v>
      </c>
      <c r="C333" t="s">
        <v>546</v>
      </c>
      <c r="D333" s="14" t="s">
        <v>41</v>
      </c>
      <c r="E333" s="14" t="s">
        <v>23</v>
      </c>
      <c r="G333">
        <v>1</v>
      </c>
      <c r="H333" s="14">
        <v>0.33</v>
      </c>
      <c r="I333" s="16"/>
      <c r="J333" s="17">
        <v>46230</v>
      </c>
      <c r="K333" s="53"/>
      <c r="L333" s="14"/>
      <c r="M333" t="s">
        <v>389</v>
      </c>
    </row>
    <row r="334" spans="2:13" hidden="1">
      <c r="B334" s="3" t="s">
        <v>278</v>
      </c>
      <c r="C334" s="23" t="s">
        <v>404</v>
      </c>
      <c r="D334" s="14" t="s">
        <v>41</v>
      </c>
      <c r="E334" s="14" t="s">
        <v>23</v>
      </c>
      <c r="G334">
        <v>1</v>
      </c>
      <c r="H334" s="14">
        <v>1</v>
      </c>
      <c r="I334" s="6"/>
      <c r="J334" s="17">
        <v>46230</v>
      </c>
      <c r="K334" s="53"/>
      <c r="L334" s="3"/>
      <c r="M334" t="s">
        <v>454</v>
      </c>
    </row>
    <row r="335" spans="2:13" hidden="1">
      <c r="B335" s="3" t="s">
        <v>278</v>
      </c>
      <c r="C335" t="s">
        <v>524</v>
      </c>
      <c r="D335" s="14" t="s">
        <v>41</v>
      </c>
      <c r="E335" s="14" t="s">
        <v>23</v>
      </c>
      <c r="G335">
        <v>1</v>
      </c>
      <c r="H335" s="28">
        <v>0.33</v>
      </c>
      <c r="I335" s="6"/>
      <c r="J335" s="17">
        <v>46230</v>
      </c>
      <c r="K335" s="55"/>
      <c r="L335" s="3"/>
      <c r="M335" t="s">
        <v>454</v>
      </c>
    </row>
    <row r="336" spans="2:13" hidden="1">
      <c r="B336" s="3" t="s">
        <v>278</v>
      </c>
      <c r="C336" t="s">
        <v>525</v>
      </c>
      <c r="D336" s="14" t="s">
        <v>41</v>
      </c>
      <c r="E336" s="14" t="s">
        <v>23</v>
      </c>
      <c r="G336">
        <v>1</v>
      </c>
      <c r="H336" s="28">
        <v>0.33</v>
      </c>
      <c r="I336" s="6"/>
      <c r="J336" s="17">
        <v>46230</v>
      </c>
      <c r="K336" s="55"/>
      <c r="L336" s="3"/>
      <c r="M336" t="s">
        <v>454</v>
      </c>
    </row>
    <row r="337" spans="2:13" hidden="1">
      <c r="B337" s="3" t="s">
        <v>278</v>
      </c>
      <c r="C337" s="65" t="s">
        <v>547</v>
      </c>
      <c r="D337" s="14" t="s">
        <v>41</v>
      </c>
      <c r="E337" s="14" t="s">
        <v>23</v>
      </c>
      <c r="G337">
        <v>1</v>
      </c>
      <c r="H337" s="14">
        <v>2</v>
      </c>
      <c r="I337" s="6"/>
      <c r="J337" s="17">
        <v>46230</v>
      </c>
      <c r="K337" s="55"/>
      <c r="L337" s="3"/>
      <c r="M337" t="s">
        <v>454</v>
      </c>
    </row>
    <row r="338" spans="2:13" hidden="1">
      <c r="B338" s="3" t="s">
        <v>278</v>
      </c>
      <c r="C338" t="s">
        <v>527</v>
      </c>
      <c r="D338" s="14" t="s">
        <v>41</v>
      </c>
      <c r="E338" s="14" t="s">
        <v>23</v>
      </c>
      <c r="G338">
        <v>1</v>
      </c>
      <c r="H338" s="28">
        <v>0.75</v>
      </c>
      <c r="I338" s="6"/>
      <c r="J338" s="17">
        <v>46230</v>
      </c>
      <c r="K338" s="55"/>
      <c r="L338" s="3"/>
      <c r="M338" t="s">
        <v>454</v>
      </c>
    </row>
    <row r="339" spans="2:13" hidden="1">
      <c r="B339" s="3" t="s">
        <v>278</v>
      </c>
      <c r="C339" t="s">
        <v>528</v>
      </c>
      <c r="D339" s="14" t="s">
        <v>41</v>
      </c>
      <c r="E339" s="14" t="s">
        <v>23</v>
      </c>
      <c r="G339">
        <v>1</v>
      </c>
      <c r="H339" s="28">
        <v>1</v>
      </c>
      <c r="I339" s="16"/>
      <c r="J339" s="17">
        <v>46230</v>
      </c>
      <c r="K339" s="55"/>
      <c r="L339" s="14"/>
      <c r="M339" t="s">
        <v>454</v>
      </c>
    </row>
    <row r="340" spans="2:13" hidden="1">
      <c r="B340" s="14" t="s">
        <v>411</v>
      </c>
      <c r="C340" t="s">
        <v>548</v>
      </c>
      <c r="D340" s="14" t="s">
        <v>41</v>
      </c>
      <c r="E340" s="14" t="s">
        <v>453</v>
      </c>
      <c r="G340">
        <v>1</v>
      </c>
      <c r="H340" s="14">
        <v>1.5</v>
      </c>
      <c r="I340" s="16"/>
      <c r="J340" s="17">
        <v>46223</v>
      </c>
      <c r="K340" s="53"/>
      <c r="L340" s="14"/>
      <c r="M340" t="s">
        <v>389</v>
      </c>
    </row>
    <row r="341" spans="2:13" hidden="1">
      <c r="B341" s="14" t="s">
        <v>278</v>
      </c>
      <c r="C341" t="s">
        <v>548</v>
      </c>
      <c r="D341" s="14" t="s">
        <v>41</v>
      </c>
      <c r="E341" s="14" t="s">
        <v>453</v>
      </c>
      <c r="F341" s="14"/>
      <c r="G341" s="14">
        <v>1</v>
      </c>
      <c r="H341" s="14">
        <v>1.5</v>
      </c>
      <c r="I341" s="16"/>
      <c r="J341" s="17">
        <v>46223</v>
      </c>
      <c r="K341" s="53"/>
      <c r="L341" s="14"/>
      <c r="M341" t="s">
        <v>389</v>
      </c>
    </row>
    <row r="342" spans="2:13" hidden="1">
      <c r="B342" s="14" t="s">
        <v>306</v>
      </c>
      <c r="C342" t="s">
        <v>549</v>
      </c>
      <c r="D342" s="14" t="s">
        <v>41</v>
      </c>
      <c r="E342" s="14" t="s">
        <v>408</v>
      </c>
      <c r="G342">
        <v>1</v>
      </c>
      <c r="H342" s="14">
        <v>1</v>
      </c>
      <c r="I342" s="16"/>
      <c r="J342" s="17">
        <v>46223</v>
      </c>
      <c r="K342" s="53">
        <v>1</v>
      </c>
      <c r="L342" s="14" t="s">
        <v>550</v>
      </c>
      <c r="M342" t="s">
        <v>389</v>
      </c>
    </row>
    <row r="343" spans="2:13" hidden="1">
      <c r="B343" s="14" t="s">
        <v>58</v>
      </c>
      <c r="C343" t="s">
        <v>549</v>
      </c>
      <c r="D343" s="14" t="s">
        <v>41</v>
      </c>
      <c r="E343" s="14" t="s">
        <v>408</v>
      </c>
      <c r="G343">
        <v>1</v>
      </c>
      <c r="H343" s="14">
        <v>1</v>
      </c>
      <c r="I343" s="16"/>
      <c r="J343" s="17">
        <v>46223</v>
      </c>
      <c r="K343" s="53">
        <v>1</v>
      </c>
      <c r="L343" s="14" t="s">
        <v>551</v>
      </c>
      <c r="M343" t="s">
        <v>389</v>
      </c>
    </row>
    <row r="344" spans="2:13" hidden="1">
      <c r="B344" s="14" t="s">
        <v>12</v>
      </c>
      <c r="C344" t="s">
        <v>552</v>
      </c>
      <c r="D344" s="14" t="s">
        <v>41</v>
      </c>
      <c r="E344" s="14" t="s">
        <v>408</v>
      </c>
      <c r="G344">
        <v>1</v>
      </c>
      <c r="H344" s="14">
        <v>1</v>
      </c>
      <c r="I344" s="16"/>
      <c r="J344" s="17">
        <v>46223</v>
      </c>
      <c r="K344" s="53">
        <v>1</v>
      </c>
      <c r="L344" s="14" t="s">
        <v>553</v>
      </c>
      <c r="M344" t="s">
        <v>389</v>
      </c>
    </row>
    <row r="345" spans="2:13" hidden="1">
      <c r="B345" s="14" t="s">
        <v>12</v>
      </c>
      <c r="C345" t="s">
        <v>554</v>
      </c>
      <c r="D345" s="14" t="s">
        <v>41</v>
      </c>
      <c r="E345" s="14" t="s">
        <v>408</v>
      </c>
      <c r="G345">
        <v>1</v>
      </c>
      <c r="H345" s="14">
        <v>0.75</v>
      </c>
      <c r="I345" s="16"/>
      <c r="J345" s="17">
        <v>46223</v>
      </c>
      <c r="K345" s="53">
        <v>1</v>
      </c>
      <c r="L345" s="14" t="s">
        <v>555</v>
      </c>
      <c r="M345" t="s">
        <v>389</v>
      </c>
    </row>
    <row r="346" spans="2:13" hidden="1">
      <c r="B346" s="14" t="s">
        <v>58</v>
      </c>
      <c r="C346" t="s">
        <v>554</v>
      </c>
      <c r="D346" s="14" t="s">
        <v>41</v>
      </c>
      <c r="E346" s="14" t="s">
        <v>408</v>
      </c>
      <c r="G346">
        <v>1</v>
      </c>
      <c r="H346" s="14">
        <v>0.75</v>
      </c>
      <c r="I346" s="16"/>
      <c r="J346" s="17">
        <v>46223</v>
      </c>
      <c r="K346" s="53"/>
      <c r="L346" s="14" t="s">
        <v>556</v>
      </c>
      <c r="M346" t="s">
        <v>557</v>
      </c>
    </row>
    <row r="347" spans="2:13" hidden="1">
      <c r="B347" s="14" t="s">
        <v>306</v>
      </c>
      <c r="C347" t="s">
        <v>554</v>
      </c>
      <c r="D347" s="14" t="s">
        <v>41</v>
      </c>
      <c r="E347" s="14" t="s">
        <v>408</v>
      </c>
      <c r="G347">
        <v>1</v>
      </c>
      <c r="H347" s="14">
        <v>0.75</v>
      </c>
      <c r="I347" s="16"/>
      <c r="J347" s="17">
        <v>46223</v>
      </c>
      <c r="K347" s="53"/>
      <c r="L347" s="14" t="s">
        <v>556</v>
      </c>
      <c r="M347" t="s">
        <v>557</v>
      </c>
    </row>
    <row r="348" spans="2:13" hidden="1">
      <c r="B348" s="14" t="s">
        <v>411</v>
      </c>
      <c r="C348" t="s">
        <v>554</v>
      </c>
      <c r="D348" s="14" t="s">
        <v>41</v>
      </c>
      <c r="E348" s="14" t="s">
        <v>408</v>
      </c>
      <c r="F348" s="14">
        <v>2</v>
      </c>
      <c r="G348" s="14">
        <v>1</v>
      </c>
      <c r="H348" s="14">
        <v>0.75</v>
      </c>
      <c r="I348" s="16"/>
      <c r="J348" s="17">
        <v>46223</v>
      </c>
      <c r="K348" s="53"/>
      <c r="L348" s="14" t="s">
        <v>556</v>
      </c>
      <c r="M348" t="s">
        <v>557</v>
      </c>
    </row>
    <row r="349" spans="2:13" hidden="1">
      <c r="B349" s="14" t="s">
        <v>278</v>
      </c>
      <c r="C349" t="s">
        <v>554</v>
      </c>
      <c r="D349" s="14" t="s">
        <v>41</v>
      </c>
      <c r="E349" s="14" t="s">
        <v>408</v>
      </c>
      <c r="G349">
        <v>1</v>
      </c>
      <c r="H349" s="14">
        <v>0.75</v>
      </c>
      <c r="I349" s="16"/>
      <c r="J349" s="17">
        <v>46223</v>
      </c>
      <c r="K349" s="53"/>
      <c r="L349" s="14" t="s">
        <v>556</v>
      </c>
      <c r="M349" t="s">
        <v>557</v>
      </c>
    </row>
    <row r="350" spans="2:13" hidden="1">
      <c r="B350" s="14" t="s">
        <v>103</v>
      </c>
      <c r="C350" s="59" t="s">
        <v>558</v>
      </c>
      <c r="D350" s="14" t="s">
        <v>41</v>
      </c>
      <c r="E350" s="14" t="s">
        <v>23</v>
      </c>
      <c r="G350">
        <v>1</v>
      </c>
      <c r="H350" s="14">
        <v>0.5</v>
      </c>
      <c r="I350" s="16"/>
      <c r="J350" s="17">
        <v>46223</v>
      </c>
      <c r="K350" s="53"/>
      <c r="L350" s="14" t="s">
        <v>559</v>
      </c>
      <c r="M350" t="s">
        <v>389</v>
      </c>
    </row>
    <row r="351" spans="2:13" hidden="1">
      <c r="B351" s="14" t="s">
        <v>103</v>
      </c>
      <c r="C351" s="60" t="s">
        <v>560</v>
      </c>
      <c r="D351" s="14" t="s">
        <v>41</v>
      </c>
      <c r="E351" s="14" t="s">
        <v>23</v>
      </c>
      <c r="G351">
        <v>1</v>
      </c>
      <c r="H351" s="14">
        <v>1</v>
      </c>
      <c r="I351" s="16"/>
      <c r="J351" s="17">
        <v>46223</v>
      </c>
      <c r="K351" s="53"/>
      <c r="L351" s="14" t="s">
        <v>561</v>
      </c>
      <c r="M351" t="s">
        <v>389</v>
      </c>
    </row>
    <row r="352" spans="2:13" hidden="1">
      <c r="B352" s="14" t="s">
        <v>103</v>
      </c>
      <c r="C352" s="60" t="s">
        <v>562</v>
      </c>
      <c r="D352" s="14" t="s">
        <v>41</v>
      </c>
      <c r="E352" s="14" t="s">
        <v>23</v>
      </c>
      <c r="G352">
        <v>1</v>
      </c>
      <c r="H352" s="14">
        <v>0.5</v>
      </c>
      <c r="I352" s="16"/>
      <c r="J352" s="17">
        <v>46223</v>
      </c>
      <c r="K352" s="53"/>
      <c r="L352" s="14" t="s">
        <v>563</v>
      </c>
      <c r="M352" t="s">
        <v>389</v>
      </c>
    </row>
    <row r="353" spans="2:13" hidden="1">
      <c r="B353" s="14" t="s">
        <v>494</v>
      </c>
      <c r="C353" t="s">
        <v>564</v>
      </c>
      <c r="D353" s="14" t="s">
        <v>41</v>
      </c>
      <c r="E353" s="14" t="s">
        <v>23</v>
      </c>
      <c r="H353" s="14">
        <v>2</v>
      </c>
      <c r="I353" s="16"/>
      <c r="J353" s="17"/>
      <c r="K353" s="17"/>
      <c r="L353" s="14"/>
    </row>
    <row r="354" spans="2:13" hidden="1">
      <c r="B354" s="14" t="s">
        <v>12</v>
      </c>
      <c r="C354" t="s">
        <v>565</v>
      </c>
      <c r="D354" s="14" t="s">
        <v>41</v>
      </c>
      <c r="E354" s="14" t="s">
        <v>23</v>
      </c>
      <c r="G354">
        <v>2</v>
      </c>
      <c r="H354" s="14">
        <v>1</v>
      </c>
      <c r="I354" s="16"/>
      <c r="J354" s="17">
        <v>46223</v>
      </c>
      <c r="K354" s="53">
        <v>0.83</v>
      </c>
      <c r="L354" s="14" t="s">
        <v>566</v>
      </c>
      <c r="M354" t="s">
        <v>16</v>
      </c>
    </row>
    <row r="355" spans="2:13" hidden="1">
      <c r="B355" s="14" t="s">
        <v>411</v>
      </c>
      <c r="C355" t="s">
        <v>567</v>
      </c>
      <c r="D355" s="14" t="s">
        <v>41</v>
      </c>
      <c r="E355" s="14" t="s">
        <v>408</v>
      </c>
      <c r="G355">
        <v>1</v>
      </c>
      <c r="H355" s="14">
        <v>8</v>
      </c>
      <c r="I355" s="16"/>
      <c r="J355" s="17">
        <v>46223</v>
      </c>
      <c r="K355" s="53"/>
      <c r="L355" s="14"/>
      <c r="M355" t="s">
        <v>389</v>
      </c>
    </row>
    <row r="356" spans="2:13" hidden="1">
      <c r="B356" s="14" t="s">
        <v>39</v>
      </c>
      <c r="C356" t="s">
        <v>568</v>
      </c>
      <c r="D356" s="14" t="s">
        <v>41</v>
      </c>
      <c r="E356" s="14" t="s">
        <v>408</v>
      </c>
      <c r="G356">
        <v>1</v>
      </c>
      <c r="H356" s="14">
        <v>0.75</v>
      </c>
      <c r="I356" s="16"/>
      <c r="J356" s="17">
        <v>46230</v>
      </c>
      <c r="K356" s="53">
        <v>1</v>
      </c>
      <c r="L356" s="14" t="s">
        <v>569</v>
      </c>
      <c r="M356" t="s">
        <v>389</v>
      </c>
    </row>
    <row r="357" spans="2:13" hidden="1">
      <c r="B357" s="14" t="s">
        <v>570</v>
      </c>
      <c r="C357" t="s">
        <v>571</v>
      </c>
      <c r="D357" s="14" t="s">
        <v>41</v>
      </c>
      <c r="E357" s="14" t="s">
        <v>572</v>
      </c>
      <c r="H357" s="14">
        <v>12</v>
      </c>
      <c r="I357" s="16"/>
      <c r="J357" s="17">
        <v>46230</v>
      </c>
      <c r="K357" s="53"/>
      <c r="L357" s="14"/>
      <c r="M357" t="s">
        <v>389</v>
      </c>
    </row>
    <row r="358" spans="2:13" hidden="1">
      <c r="B358" s="14" t="s">
        <v>570</v>
      </c>
      <c r="C358" t="s">
        <v>573</v>
      </c>
      <c r="D358" s="14" t="s">
        <v>41</v>
      </c>
      <c r="E358" s="14" t="s">
        <v>572</v>
      </c>
      <c r="G358">
        <v>1</v>
      </c>
      <c r="H358" s="14">
        <v>12</v>
      </c>
      <c r="I358" s="16"/>
      <c r="J358" s="17">
        <v>46239</v>
      </c>
      <c r="K358" s="17"/>
      <c r="L358" s="14"/>
      <c r="M358" t="s">
        <v>389</v>
      </c>
    </row>
    <row r="359" spans="2:13" hidden="1">
      <c r="B359" s="14" t="s">
        <v>574</v>
      </c>
      <c r="C359" t="s">
        <v>575</v>
      </c>
      <c r="D359" s="14" t="s">
        <v>41</v>
      </c>
      <c r="E359" s="14" t="s">
        <v>23</v>
      </c>
      <c r="G359">
        <v>2</v>
      </c>
      <c r="H359" s="14">
        <v>3</v>
      </c>
      <c r="I359" s="16"/>
      <c r="J359" s="17">
        <v>46230</v>
      </c>
      <c r="K359" s="53">
        <v>5.5</v>
      </c>
      <c r="L359" s="14" t="s">
        <v>576</v>
      </c>
      <c r="M359" t="s">
        <v>389</v>
      </c>
    </row>
    <row r="360" spans="2:13" hidden="1">
      <c r="B360" s="14" t="s">
        <v>577</v>
      </c>
      <c r="C360" t="s">
        <v>575</v>
      </c>
      <c r="D360" s="14" t="s">
        <v>41</v>
      </c>
      <c r="E360" s="14" t="s">
        <v>23</v>
      </c>
      <c r="G360" s="14">
        <v>2</v>
      </c>
      <c r="H360" s="14">
        <v>3</v>
      </c>
      <c r="I360" s="16"/>
      <c r="J360" s="17">
        <v>46230</v>
      </c>
      <c r="K360" s="53"/>
      <c r="L360" s="14" t="s">
        <v>578</v>
      </c>
      <c r="M360" t="s">
        <v>389</v>
      </c>
    </row>
    <row r="361" spans="2:13" hidden="1">
      <c r="B361" s="14" t="s">
        <v>39</v>
      </c>
      <c r="C361" t="s">
        <v>579</v>
      </c>
      <c r="D361" s="14" t="s">
        <v>41</v>
      </c>
      <c r="E361" s="14" t="s">
        <v>23</v>
      </c>
      <c r="G361">
        <v>1</v>
      </c>
      <c r="H361" s="14">
        <f>4+6</f>
        <v>10</v>
      </c>
      <c r="I361" s="16"/>
      <c r="J361" s="17">
        <v>46230</v>
      </c>
      <c r="K361" s="53">
        <v>4.5</v>
      </c>
      <c r="L361" s="14" t="s">
        <v>580</v>
      </c>
      <c r="M361" t="s">
        <v>389</v>
      </c>
    </row>
    <row r="362" spans="2:13" hidden="1">
      <c r="B362" s="14" t="s">
        <v>39</v>
      </c>
      <c r="C362" s="65" t="s">
        <v>581</v>
      </c>
      <c r="D362" s="14" t="s">
        <v>22</v>
      </c>
      <c r="E362" s="14" t="s">
        <v>453</v>
      </c>
      <c r="G362">
        <v>2</v>
      </c>
      <c r="H362" s="14">
        <v>9</v>
      </c>
      <c r="I362" s="16"/>
      <c r="J362" s="17">
        <v>46230</v>
      </c>
      <c r="K362" s="53">
        <v>8</v>
      </c>
      <c r="L362" s="14" t="s">
        <v>582</v>
      </c>
      <c r="M362" t="s">
        <v>389</v>
      </c>
    </row>
    <row r="363" spans="2:13" hidden="1">
      <c r="B363" s="14" t="s">
        <v>583</v>
      </c>
      <c r="C363" s="65" t="s">
        <v>584</v>
      </c>
      <c r="D363" s="14" t="s">
        <v>585</v>
      </c>
      <c r="E363" s="14" t="s">
        <v>453</v>
      </c>
      <c r="G363">
        <v>1</v>
      </c>
      <c r="H363" s="14">
        <v>1</v>
      </c>
      <c r="I363" s="16"/>
      <c r="J363" s="17">
        <v>46230</v>
      </c>
      <c r="K363" s="53"/>
      <c r="L363" s="14"/>
      <c r="M363" t="s">
        <v>454</v>
      </c>
    </row>
    <row r="364" spans="2:13" hidden="1">
      <c r="B364" s="14" t="s">
        <v>586</v>
      </c>
      <c r="C364" s="65" t="s">
        <v>587</v>
      </c>
      <c r="D364" s="14" t="s">
        <v>588</v>
      </c>
      <c r="E364" s="14" t="s">
        <v>453</v>
      </c>
      <c r="G364">
        <v>1</v>
      </c>
      <c r="H364" s="14">
        <v>1</v>
      </c>
      <c r="I364" s="16"/>
      <c r="J364" s="17">
        <v>46230</v>
      </c>
      <c r="K364" s="53">
        <v>1</v>
      </c>
      <c r="L364" s="14"/>
      <c r="M364" t="s">
        <v>389</v>
      </c>
    </row>
    <row r="365" spans="2:13" hidden="1">
      <c r="B365" s="14" t="s">
        <v>589</v>
      </c>
      <c r="C365" s="65" t="s">
        <v>590</v>
      </c>
      <c r="D365" s="14" t="s">
        <v>591</v>
      </c>
      <c r="E365" s="14" t="s">
        <v>453</v>
      </c>
      <c r="G365">
        <v>1</v>
      </c>
      <c r="H365" s="14">
        <v>1</v>
      </c>
      <c r="I365" s="16"/>
      <c r="J365" s="17">
        <v>46230</v>
      </c>
      <c r="K365" s="53">
        <v>1</v>
      </c>
      <c r="L365" s="14"/>
      <c r="M365" t="s">
        <v>389</v>
      </c>
    </row>
    <row r="366" spans="2:13" hidden="1">
      <c r="B366" s="14" t="s">
        <v>592</v>
      </c>
      <c r="C366" t="s">
        <v>593</v>
      </c>
      <c r="D366" s="14" t="s">
        <v>41</v>
      </c>
      <c r="E366" s="14" t="s">
        <v>453</v>
      </c>
      <c r="G366">
        <v>1</v>
      </c>
      <c r="H366" s="14">
        <v>8</v>
      </c>
      <c r="I366" s="16"/>
      <c r="J366" s="17">
        <v>46230</v>
      </c>
      <c r="K366" s="53">
        <v>4</v>
      </c>
      <c r="L366" s="14"/>
      <c r="M366" t="s">
        <v>389</v>
      </c>
    </row>
    <row r="367" spans="2:13">
      <c r="B367" s="3" t="s">
        <v>12</v>
      </c>
      <c r="C367" t="s">
        <v>554</v>
      </c>
      <c r="D367" s="3" t="s">
        <v>41</v>
      </c>
      <c r="E367" s="3" t="s">
        <v>408</v>
      </c>
      <c r="F367">
        <v>1</v>
      </c>
      <c r="G367">
        <v>1</v>
      </c>
      <c r="H367" s="14">
        <v>0.75</v>
      </c>
      <c r="I367" s="6"/>
      <c r="J367" s="17">
        <v>46230</v>
      </c>
      <c r="K367" s="53">
        <v>1</v>
      </c>
      <c r="L367" s="3" t="s">
        <v>594</v>
      </c>
      <c r="M367" t="s">
        <v>389</v>
      </c>
    </row>
    <row r="368" spans="2:13">
      <c r="B368" s="3" t="s">
        <v>58</v>
      </c>
      <c r="C368" t="s">
        <v>554</v>
      </c>
      <c r="D368" s="3" t="s">
        <v>41</v>
      </c>
      <c r="E368" s="3" t="s">
        <v>408</v>
      </c>
      <c r="F368">
        <v>1</v>
      </c>
      <c r="G368">
        <v>1</v>
      </c>
      <c r="H368" s="14">
        <v>0.75</v>
      </c>
      <c r="I368" s="6"/>
      <c r="J368" s="17">
        <v>46230</v>
      </c>
      <c r="K368" s="55">
        <v>1.3</v>
      </c>
      <c r="L368" s="3" t="s">
        <v>594</v>
      </c>
      <c r="M368" t="s">
        <v>389</v>
      </c>
    </row>
    <row r="369" spans="2:13" hidden="1">
      <c r="B369" s="3" t="s">
        <v>306</v>
      </c>
      <c r="C369" t="s">
        <v>554</v>
      </c>
      <c r="D369" s="3" t="s">
        <v>41</v>
      </c>
      <c r="E369" s="3" t="s">
        <v>408</v>
      </c>
      <c r="F369">
        <v>1</v>
      </c>
      <c r="G369">
        <v>1</v>
      </c>
      <c r="H369" s="14">
        <v>0.75</v>
      </c>
      <c r="I369" s="6"/>
      <c r="J369" s="17">
        <v>46230</v>
      </c>
      <c r="K369" s="55"/>
      <c r="L369" s="3"/>
      <c r="M369" t="s">
        <v>454</v>
      </c>
    </row>
    <row r="370" spans="2:13" hidden="1">
      <c r="B370" s="3" t="s">
        <v>411</v>
      </c>
      <c r="C370" t="s">
        <v>554</v>
      </c>
      <c r="D370" s="3" t="s">
        <v>41</v>
      </c>
      <c r="E370" s="3" t="s">
        <v>408</v>
      </c>
      <c r="F370" s="14">
        <v>1</v>
      </c>
      <c r="G370">
        <v>1</v>
      </c>
      <c r="H370" s="14">
        <v>0.75</v>
      </c>
      <c r="I370" s="6"/>
      <c r="J370" s="17">
        <v>46230</v>
      </c>
      <c r="K370" s="55"/>
      <c r="L370" s="3"/>
      <c r="M370" t="s">
        <v>454</v>
      </c>
    </row>
    <row r="371" spans="2:13">
      <c r="B371" s="14" t="s">
        <v>278</v>
      </c>
      <c r="C371" t="s">
        <v>554</v>
      </c>
      <c r="D371" s="14" t="s">
        <v>41</v>
      </c>
      <c r="E371" s="14" t="s">
        <v>408</v>
      </c>
      <c r="F371">
        <v>1</v>
      </c>
      <c r="G371">
        <v>1</v>
      </c>
      <c r="H371" s="14">
        <v>0.75</v>
      </c>
      <c r="I371" s="16"/>
      <c r="J371" s="17">
        <v>46230</v>
      </c>
      <c r="K371" s="55">
        <v>1</v>
      </c>
      <c r="L371" s="3" t="s">
        <v>594</v>
      </c>
      <c r="M371" t="s">
        <v>389</v>
      </c>
    </row>
    <row r="372" spans="2:13" hidden="1">
      <c r="B372" s="14" t="s">
        <v>103</v>
      </c>
      <c r="C372" t="s">
        <v>595</v>
      </c>
      <c r="D372" s="14" t="s">
        <v>41</v>
      </c>
      <c r="E372" s="14" t="s">
        <v>408</v>
      </c>
      <c r="G372">
        <v>1</v>
      </c>
      <c r="H372" s="14">
        <v>2</v>
      </c>
      <c r="I372" s="16"/>
      <c r="J372" s="17">
        <v>46230</v>
      </c>
      <c r="K372" s="53"/>
      <c r="L372" s="14"/>
      <c r="M372" t="s">
        <v>454</v>
      </c>
    </row>
    <row r="373" spans="2:13" hidden="1">
      <c r="B373" s="14" t="s">
        <v>596</v>
      </c>
      <c r="C373" s="65" t="s">
        <v>597</v>
      </c>
      <c r="D373" s="14" t="s">
        <v>22</v>
      </c>
      <c r="E373" s="14" t="s">
        <v>453</v>
      </c>
      <c r="G373">
        <v>1</v>
      </c>
      <c r="H373" s="14">
        <v>6</v>
      </c>
      <c r="I373" s="16"/>
      <c r="J373" s="17">
        <v>46230</v>
      </c>
      <c r="K373" s="53"/>
      <c r="L373" s="14"/>
      <c r="M373" t="s">
        <v>389</v>
      </c>
    </row>
    <row r="374" spans="2:13" hidden="1">
      <c r="B374" s="14" t="s">
        <v>598</v>
      </c>
      <c r="C374" t="s">
        <v>599</v>
      </c>
      <c r="D374" s="14" t="s">
        <v>41</v>
      </c>
      <c r="E374" s="14" t="s">
        <v>408</v>
      </c>
      <c r="G374">
        <v>1</v>
      </c>
      <c r="H374" s="14">
        <v>9</v>
      </c>
      <c r="I374" s="16"/>
      <c r="J374" s="17">
        <v>46230</v>
      </c>
      <c r="K374" s="53"/>
      <c r="L374" s="14"/>
      <c r="M374" t="s">
        <v>454</v>
      </c>
    </row>
    <row r="375" spans="2:13" hidden="1">
      <c r="B375" s="14" t="s">
        <v>600</v>
      </c>
      <c r="C375" t="s">
        <v>601</v>
      </c>
      <c r="D375" s="14" t="s">
        <v>41</v>
      </c>
      <c r="E375" s="14" t="s">
        <v>408</v>
      </c>
      <c r="F375">
        <v>1</v>
      </c>
      <c r="G375" s="14">
        <v>1</v>
      </c>
      <c r="H375" s="14">
        <v>9</v>
      </c>
      <c r="I375" s="16"/>
      <c r="J375" s="17">
        <v>46230</v>
      </c>
      <c r="K375" s="53"/>
      <c r="L375" s="14" t="s">
        <v>602</v>
      </c>
      <c r="M375" t="s">
        <v>382</v>
      </c>
    </row>
    <row r="376" spans="2:13" hidden="1">
      <c r="B376" s="14" t="s">
        <v>603</v>
      </c>
      <c r="C376" t="s">
        <v>604</v>
      </c>
      <c r="D376" s="14" t="s">
        <v>41</v>
      </c>
      <c r="E376" s="14" t="s">
        <v>408</v>
      </c>
      <c r="G376">
        <v>1</v>
      </c>
      <c r="H376" s="14">
        <v>3</v>
      </c>
      <c r="I376" s="16"/>
      <c r="J376" s="17">
        <v>46230</v>
      </c>
      <c r="K376" s="53">
        <v>2</v>
      </c>
      <c r="L376" s="14" t="s">
        <v>605</v>
      </c>
      <c r="M376" t="s">
        <v>389</v>
      </c>
    </row>
    <row r="377" spans="2:13" hidden="1">
      <c r="B377" s="14" t="s">
        <v>12</v>
      </c>
      <c r="C377" t="s">
        <v>606</v>
      </c>
      <c r="D377" s="14" t="s">
        <v>41</v>
      </c>
      <c r="E377" s="14" t="s">
        <v>23</v>
      </c>
      <c r="G377">
        <v>1</v>
      </c>
      <c r="H377" s="14">
        <v>0.5</v>
      </c>
      <c r="I377" s="16"/>
      <c r="J377" s="17">
        <v>46230</v>
      </c>
      <c r="K377" s="53"/>
      <c r="L377" s="14"/>
      <c r="M377" t="s">
        <v>454</v>
      </c>
    </row>
    <row r="378" spans="2:13" hidden="1">
      <c r="B378" s="14" t="s">
        <v>12</v>
      </c>
      <c r="C378" s="65" t="s">
        <v>607</v>
      </c>
      <c r="D378" s="14" t="s">
        <v>41</v>
      </c>
      <c r="E378" s="14" t="s">
        <v>23</v>
      </c>
      <c r="G378">
        <v>1</v>
      </c>
      <c r="H378" s="14">
        <v>3</v>
      </c>
      <c r="I378" s="16"/>
      <c r="J378" s="17">
        <v>46230</v>
      </c>
      <c r="K378" s="53"/>
      <c r="L378" s="14"/>
      <c r="M378" t="s">
        <v>454</v>
      </c>
    </row>
    <row r="379" spans="2:13" hidden="1">
      <c r="B379" s="14" t="s">
        <v>12</v>
      </c>
      <c r="C379" s="65" t="s">
        <v>608</v>
      </c>
      <c r="D379" s="14" t="s">
        <v>41</v>
      </c>
      <c r="E379" s="14" t="s">
        <v>23</v>
      </c>
      <c r="G379">
        <v>1</v>
      </c>
      <c r="H379" s="14">
        <v>3</v>
      </c>
      <c r="I379" s="16"/>
      <c r="J379" s="17">
        <v>46230</v>
      </c>
      <c r="K379" s="53"/>
      <c r="L379" s="14"/>
      <c r="M379" t="s">
        <v>454</v>
      </c>
    </row>
    <row r="380" spans="2:13" hidden="1">
      <c r="B380" s="14" t="s">
        <v>103</v>
      </c>
      <c r="C380" t="s">
        <v>609</v>
      </c>
      <c r="D380" s="14" t="s">
        <v>41</v>
      </c>
      <c r="E380" s="14" t="s">
        <v>23</v>
      </c>
      <c r="G380">
        <v>1</v>
      </c>
      <c r="H380" s="14">
        <v>2</v>
      </c>
      <c r="I380" s="16"/>
      <c r="J380" s="17">
        <v>46230</v>
      </c>
      <c r="K380" s="53">
        <v>1</v>
      </c>
      <c r="L380" s="14" t="s">
        <v>610</v>
      </c>
      <c r="M380" t="s">
        <v>389</v>
      </c>
    </row>
    <row r="381" spans="2:13" hidden="1">
      <c r="B381" s="14" t="s">
        <v>103</v>
      </c>
      <c r="D381" s="14"/>
      <c r="E381" s="14"/>
      <c r="H381" s="14"/>
      <c r="I381" s="16"/>
      <c r="J381" s="17"/>
      <c r="K381" s="17"/>
      <c r="L381" s="14"/>
    </row>
    <row r="382" spans="2:13" hidden="1">
      <c r="B382" s="3" t="s">
        <v>103</v>
      </c>
      <c r="C382" s="59" t="s">
        <v>558</v>
      </c>
      <c r="D382" s="3" t="s">
        <v>41</v>
      </c>
      <c r="E382" s="3" t="s">
        <v>23</v>
      </c>
      <c r="G382">
        <v>1</v>
      </c>
      <c r="H382" s="3">
        <v>0.5</v>
      </c>
      <c r="I382" s="6"/>
      <c r="J382" s="4">
        <v>46230</v>
      </c>
      <c r="K382" s="53">
        <v>1</v>
      </c>
      <c r="L382" s="3" t="s">
        <v>611</v>
      </c>
      <c r="M382" t="s">
        <v>389</v>
      </c>
    </row>
    <row r="383" spans="2:13" hidden="1">
      <c r="B383" s="3" t="s">
        <v>103</v>
      </c>
      <c r="C383" s="60" t="s">
        <v>560</v>
      </c>
      <c r="D383" s="3" t="s">
        <v>41</v>
      </c>
      <c r="E383" s="3" t="s">
        <v>23</v>
      </c>
      <c r="G383">
        <v>1</v>
      </c>
      <c r="H383" s="3">
        <v>1</v>
      </c>
      <c r="I383" s="6"/>
      <c r="J383" s="4">
        <v>46230</v>
      </c>
      <c r="K383" s="53">
        <v>1</v>
      </c>
      <c r="L383" s="3" t="s">
        <v>612</v>
      </c>
      <c r="M383" t="s">
        <v>389</v>
      </c>
    </row>
    <row r="384" spans="2:13" hidden="1">
      <c r="B384" s="14" t="s">
        <v>103</v>
      </c>
      <c r="C384" s="60" t="s">
        <v>562</v>
      </c>
      <c r="D384" s="14" t="s">
        <v>41</v>
      </c>
      <c r="E384" s="14" t="s">
        <v>23</v>
      </c>
      <c r="G384">
        <v>1</v>
      </c>
      <c r="H384" s="14">
        <v>0.5</v>
      </c>
      <c r="I384" s="16"/>
      <c r="J384" s="17">
        <v>46230</v>
      </c>
      <c r="K384" s="53">
        <v>1</v>
      </c>
      <c r="L384" s="14" t="s">
        <v>613</v>
      </c>
      <c r="M384" t="s">
        <v>389</v>
      </c>
    </row>
    <row r="385" spans="2:13" hidden="1">
      <c r="B385" s="3" t="s">
        <v>306</v>
      </c>
      <c r="C385" s="23" t="s">
        <v>404</v>
      </c>
      <c r="D385" s="3" t="s">
        <v>41</v>
      </c>
      <c r="E385" s="3" t="s">
        <v>23</v>
      </c>
      <c r="G385">
        <v>1</v>
      </c>
      <c r="H385" s="3">
        <v>0.5</v>
      </c>
      <c r="I385" s="6"/>
      <c r="J385" s="17">
        <v>46230</v>
      </c>
      <c r="K385" s="53"/>
      <c r="L385" s="3"/>
      <c r="M385" t="s">
        <v>454</v>
      </c>
    </row>
    <row r="386" spans="2:13" hidden="1">
      <c r="B386" s="3" t="s">
        <v>39</v>
      </c>
      <c r="C386" s="66" t="s">
        <v>614</v>
      </c>
      <c r="D386" s="3" t="s">
        <v>41</v>
      </c>
      <c r="E386" s="3" t="s">
        <v>408</v>
      </c>
      <c r="G386">
        <v>1</v>
      </c>
      <c r="H386" s="3">
        <v>0.5</v>
      </c>
      <c r="I386" s="6"/>
      <c r="J386" s="17">
        <v>46230</v>
      </c>
      <c r="K386" s="55">
        <v>0.5</v>
      </c>
      <c r="L386" s="3"/>
      <c r="M386" t="s">
        <v>389</v>
      </c>
    </row>
    <row r="387" spans="2:13" hidden="1">
      <c r="B387" s="14" t="s">
        <v>306</v>
      </c>
      <c r="C387" s="66" t="s">
        <v>615</v>
      </c>
      <c r="D387" s="14" t="s">
        <v>41</v>
      </c>
      <c r="E387" s="14" t="s">
        <v>453</v>
      </c>
      <c r="G387">
        <v>1</v>
      </c>
      <c r="H387" s="14">
        <v>1</v>
      </c>
      <c r="I387" s="16"/>
      <c r="J387" s="17">
        <v>46230</v>
      </c>
      <c r="K387" s="55"/>
      <c r="L387" s="14"/>
      <c r="M387" t="s">
        <v>389</v>
      </c>
    </row>
    <row r="388" spans="2:13">
      <c r="B388" s="14" t="s">
        <v>616</v>
      </c>
      <c r="C388" t="s">
        <v>617</v>
      </c>
      <c r="D388" s="14" t="s">
        <v>41</v>
      </c>
      <c r="E388" s="14" t="s">
        <v>453</v>
      </c>
      <c r="F388" t="s">
        <v>618</v>
      </c>
      <c r="G388">
        <v>1</v>
      </c>
      <c r="H388" s="14">
        <v>5</v>
      </c>
      <c r="I388" s="16"/>
      <c r="J388" s="17">
        <v>46239</v>
      </c>
      <c r="K388" s="53">
        <v>5</v>
      </c>
      <c r="L388" s="14" t="s">
        <v>619</v>
      </c>
      <c r="M388" t="s">
        <v>389</v>
      </c>
    </row>
    <row r="389" spans="2:13" hidden="1">
      <c r="B389" s="3" t="s">
        <v>598</v>
      </c>
      <c r="C389" s="65" t="s">
        <v>599</v>
      </c>
      <c r="D389" s="3" t="s">
        <v>41</v>
      </c>
      <c r="E389" s="3" t="s">
        <v>408</v>
      </c>
      <c r="F389" t="s">
        <v>620</v>
      </c>
      <c r="G389">
        <v>1</v>
      </c>
      <c r="H389" s="3">
        <v>11</v>
      </c>
      <c r="I389" s="6"/>
      <c r="J389" s="17">
        <v>46239</v>
      </c>
      <c r="K389" s="17"/>
      <c r="L389" s="3" t="s">
        <v>621</v>
      </c>
      <c r="M389" t="s">
        <v>389</v>
      </c>
    </row>
    <row r="390" spans="2:13" hidden="1">
      <c r="B390" s="14" t="s">
        <v>12</v>
      </c>
      <c r="C390" s="70" t="s">
        <v>622</v>
      </c>
      <c r="D390" s="14" t="s">
        <v>41</v>
      </c>
      <c r="E390" s="14" t="s">
        <v>453</v>
      </c>
      <c r="G390">
        <v>1</v>
      </c>
      <c r="H390" s="14">
        <v>9</v>
      </c>
      <c r="I390" s="16"/>
      <c r="J390" s="17"/>
      <c r="K390" s="17"/>
      <c r="L390" s="14"/>
      <c r="M390" t="s">
        <v>467</v>
      </c>
    </row>
    <row r="391" spans="2:13" hidden="1">
      <c r="B391" s="14" t="s">
        <v>603</v>
      </c>
      <c r="C391" s="70" t="s">
        <v>623</v>
      </c>
      <c r="D391" s="14" t="s">
        <v>41</v>
      </c>
      <c r="E391" s="14" t="s">
        <v>453</v>
      </c>
      <c r="G391">
        <v>1</v>
      </c>
      <c r="H391" s="14">
        <v>5</v>
      </c>
      <c r="I391" s="16"/>
      <c r="J391" s="17"/>
      <c r="K391" s="17"/>
      <c r="L391" s="14"/>
      <c r="M391" t="s">
        <v>467</v>
      </c>
    </row>
    <row r="392" spans="2:13" hidden="1">
      <c r="B392" s="14" t="s">
        <v>12</v>
      </c>
      <c r="C392" s="70" t="s">
        <v>624</v>
      </c>
      <c r="D392" s="14" t="s">
        <v>41</v>
      </c>
      <c r="E392" s="14" t="s">
        <v>453</v>
      </c>
      <c r="G392">
        <v>1</v>
      </c>
      <c r="H392" s="14">
        <v>5</v>
      </c>
      <c r="I392" s="16"/>
      <c r="J392" s="17"/>
      <c r="K392" s="17"/>
      <c r="L392" s="14"/>
      <c r="M392" t="s">
        <v>467</v>
      </c>
    </row>
    <row r="393" spans="2:13" hidden="1">
      <c r="B393" s="14" t="s">
        <v>92</v>
      </c>
      <c r="C393" s="71" t="s">
        <v>625</v>
      </c>
      <c r="D393" s="14" t="s">
        <v>41</v>
      </c>
      <c r="E393" s="14" t="s">
        <v>408</v>
      </c>
      <c r="F393" t="s">
        <v>626</v>
      </c>
      <c r="G393">
        <v>1</v>
      </c>
      <c r="H393" s="14">
        <v>4.5</v>
      </c>
      <c r="I393" s="16"/>
      <c r="J393" s="17">
        <v>46251</v>
      </c>
      <c r="K393" s="53"/>
      <c r="L393" s="14" t="s">
        <v>627</v>
      </c>
      <c r="M393" t="s">
        <v>467</v>
      </c>
    </row>
    <row r="394" spans="2:13">
      <c r="B394" s="14" t="s">
        <v>58</v>
      </c>
      <c r="C394" s="71" t="s">
        <v>628</v>
      </c>
      <c r="D394" s="14" t="s">
        <v>41</v>
      </c>
      <c r="E394" s="14" t="s">
        <v>408</v>
      </c>
      <c r="F394" t="s">
        <v>626</v>
      </c>
      <c r="G394">
        <v>1</v>
      </c>
      <c r="H394" s="14">
        <v>4.5</v>
      </c>
      <c r="I394" s="16"/>
      <c r="J394" s="17">
        <v>46251</v>
      </c>
      <c r="K394" s="53">
        <v>6</v>
      </c>
      <c r="L394" s="14" t="s">
        <v>629</v>
      </c>
      <c r="M394" t="s">
        <v>389</v>
      </c>
    </row>
    <row r="395" spans="2:13" hidden="1">
      <c r="B395" s="14" t="s">
        <v>58</v>
      </c>
      <c r="C395" t="s">
        <v>630</v>
      </c>
      <c r="D395" s="14" t="s">
        <v>41</v>
      </c>
      <c r="E395" s="14" t="s">
        <v>408</v>
      </c>
      <c r="F395" t="s">
        <v>626</v>
      </c>
      <c r="G395">
        <v>1</v>
      </c>
      <c r="H395" s="14">
        <v>3</v>
      </c>
      <c r="I395" s="16"/>
      <c r="J395" s="17">
        <v>46239</v>
      </c>
      <c r="K395" s="17"/>
      <c r="L395" s="14"/>
      <c r="M395" t="s">
        <v>467</v>
      </c>
    </row>
    <row r="396" spans="2:13" hidden="1">
      <c r="B396" s="14" t="s">
        <v>411</v>
      </c>
      <c r="C396" t="s">
        <v>631</v>
      </c>
      <c r="D396" s="14" t="s">
        <v>41</v>
      </c>
      <c r="E396" s="14" t="s">
        <v>23</v>
      </c>
      <c r="F396" t="s">
        <v>632</v>
      </c>
      <c r="G396">
        <v>1</v>
      </c>
      <c r="H396" s="14">
        <v>2</v>
      </c>
      <c r="I396" s="16"/>
      <c r="J396" s="17">
        <v>46239</v>
      </c>
      <c r="K396" s="17"/>
      <c r="L396" s="14" t="s">
        <v>633</v>
      </c>
      <c r="M396" t="s">
        <v>389</v>
      </c>
    </row>
    <row r="397" spans="2:13" hidden="1">
      <c r="B397" s="14" t="s">
        <v>634</v>
      </c>
      <c r="C397" t="s">
        <v>635</v>
      </c>
      <c r="D397" s="14" t="s">
        <v>41</v>
      </c>
      <c r="E397" s="14" t="s">
        <v>453</v>
      </c>
      <c r="F397" t="s">
        <v>636</v>
      </c>
      <c r="G397">
        <v>1</v>
      </c>
      <c r="H397" s="14">
        <v>9</v>
      </c>
      <c r="I397" s="16"/>
      <c r="J397" s="17">
        <v>46239</v>
      </c>
      <c r="K397" s="17"/>
      <c r="L397" s="14"/>
      <c r="M397" t="s">
        <v>467</v>
      </c>
    </row>
    <row r="398" spans="2:13" hidden="1">
      <c r="B398" s="14" t="s">
        <v>103</v>
      </c>
      <c r="C398" t="s">
        <v>637</v>
      </c>
      <c r="D398" s="14" t="s">
        <v>41</v>
      </c>
      <c r="E398" s="14" t="s">
        <v>408</v>
      </c>
      <c r="F398" t="s">
        <v>626</v>
      </c>
      <c r="G398">
        <v>1</v>
      </c>
      <c r="H398" s="14">
        <v>3</v>
      </c>
      <c r="I398" s="16"/>
      <c r="J398" s="17">
        <v>46239</v>
      </c>
      <c r="K398" s="17"/>
      <c r="L398" s="14" t="s">
        <v>638</v>
      </c>
      <c r="M398" t="s">
        <v>389</v>
      </c>
    </row>
    <row r="399" spans="2:13" hidden="1">
      <c r="B399" s="14" t="s">
        <v>639</v>
      </c>
      <c r="C399" t="s">
        <v>640</v>
      </c>
      <c r="D399" s="14" t="s">
        <v>41</v>
      </c>
      <c r="E399" s="14" t="s">
        <v>408</v>
      </c>
      <c r="G399">
        <v>1</v>
      </c>
      <c r="H399" s="14">
        <v>48</v>
      </c>
      <c r="I399" s="16"/>
      <c r="J399" s="17">
        <v>46245</v>
      </c>
      <c r="K399" s="17"/>
      <c r="L399" s="14"/>
      <c r="M399" t="s">
        <v>467</v>
      </c>
    </row>
    <row r="400" spans="2:13">
      <c r="B400" s="14" t="s">
        <v>12</v>
      </c>
      <c r="C400" t="s">
        <v>641</v>
      </c>
      <c r="D400" s="14" t="s">
        <v>41</v>
      </c>
      <c r="E400" s="14" t="s">
        <v>23</v>
      </c>
      <c r="F400" t="s">
        <v>642</v>
      </c>
      <c r="G400">
        <v>1</v>
      </c>
      <c r="H400" s="14">
        <v>3</v>
      </c>
      <c r="I400" s="16"/>
      <c r="J400" s="17">
        <v>46239</v>
      </c>
      <c r="K400" s="53">
        <v>3</v>
      </c>
      <c r="L400" s="14" t="s">
        <v>643</v>
      </c>
      <c r="M400" t="s">
        <v>389</v>
      </c>
    </row>
    <row r="401" spans="2:13">
      <c r="B401" s="14" t="s">
        <v>12</v>
      </c>
      <c r="C401" t="s">
        <v>644</v>
      </c>
      <c r="D401" s="14" t="s">
        <v>41</v>
      </c>
      <c r="E401" s="14" t="s">
        <v>23</v>
      </c>
      <c r="F401" t="s">
        <v>642</v>
      </c>
      <c r="G401">
        <v>1</v>
      </c>
      <c r="H401" s="14">
        <v>3</v>
      </c>
      <c r="I401" s="16"/>
      <c r="J401" s="17">
        <v>46239</v>
      </c>
      <c r="K401" s="53">
        <v>3</v>
      </c>
      <c r="L401" s="14" t="s">
        <v>643</v>
      </c>
      <c r="M401" t="s">
        <v>389</v>
      </c>
    </row>
    <row r="402" spans="2:13">
      <c r="B402" s="14" t="s">
        <v>39</v>
      </c>
      <c r="C402" t="s">
        <v>579</v>
      </c>
      <c r="D402" s="14" t="s">
        <v>41</v>
      </c>
      <c r="E402" s="14" t="s">
        <v>23</v>
      </c>
      <c r="F402" t="s">
        <v>645</v>
      </c>
      <c r="G402">
        <v>1</v>
      </c>
      <c r="H402" s="14">
        <v>4</v>
      </c>
      <c r="I402" s="16"/>
      <c r="J402" s="17">
        <v>46239</v>
      </c>
      <c r="K402" s="53">
        <v>3</v>
      </c>
      <c r="L402" s="14" t="s">
        <v>646</v>
      </c>
      <c r="M402" t="s">
        <v>389</v>
      </c>
    </row>
    <row r="403" spans="2:13" hidden="1">
      <c r="B403" s="14" t="s">
        <v>411</v>
      </c>
      <c r="C403" t="s">
        <v>647</v>
      </c>
      <c r="D403" s="14" t="s">
        <v>41</v>
      </c>
      <c r="E403" s="14" t="s">
        <v>23</v>
      </c>
      <c r="F403" t="s">
        <v>632</v>
      </c>
      <c r="G403">
        <v>1</v>
      </c>
      <c r="H403" s="14">
        <v>2</v>
      </c>
      <c r="I403" s="16"/>
      <c r="J403" s="17">
        <v>46239</v>
      </c>
      <c r="K403" s="17"/>
      <c r="L403" s="14" t="s">
        <v>648</v>
      </c>
      <c r="M403" t="s">
        <v>389</v>
      </c>
    </row>
    <row r="404" spans="2:13">
      <c r="B404" s="3" t="s">
        <v>278</v>
      </c>
      <c r="C404" t="s">
        <v>649</v>
      </c>
      <c r="D404" s="3" t="s">
        <v>41</v>
      </c>
      <c r="E404" s="14" t="s">
        <v>23</v>
      </c>
      <c r="F404" t="s">
        <v>650</v>
      </c>
      <c r="G404">
        <v>1</v>
      </c>
      <c r="H404" s="3">
        <v>1.5</v>
      </c>
      <c r="I404" s="6"/>
      <c r="J404" s="17">
        <v>46239</v>
      </c>
      <c r="K404" s="53">
        <v>1.5</v>
      </c>
      <c r="L404" s="3" t="s">
        <v>651</v>
      </c>
      <c r="M404" t="s">
        <v>389</v>
      </c>
    </row>
    <row r="405" spans="2:13">
      <c r="B405" s="14" t="s">
        <v>278</v>
      </c>
      <c r="C405" t="s">
        <v>528</v>
      </c>
      <c r="D405" s="14" t="s">
        <v>41</v>
      </c>
      <c r="E405" s="14" t="s">
        <v>23</v>
      </c>
      <c r="F405" t="s">
        <v>650</v>
      </c>
      <c r="G405">
        <v>1</v>
      </c>
      <c r="H405" s="14">
        <v>1</v>
      </c>
      <c r="I405" s="16"/>
      <c r="J405" s="17">
        <v>46239</v>
      </c>
      <c r="K405" s="55">
        <v>1</v>
      </c>
      <c r="L405" s="3" t="s">
        <v>652</v>
      </c>
      <c r="M405" t="s">
        <v>389</v>
      </c>
    </row>
    <row r="406" spans="2:13">
      <c r="B406" s="14" t="s">
        <v>278</v>
      </c>
      <c r="C406" s="23" t="s">
        <v>404</v>
      </c>
      <c r="D406" s="14" t="s">
        <v>41</v>
      </c>
      <c r="E406" s="14" t="s">
        <v>23</v>
      </c>
      <c r="F406" t="s">
        <v>650</v>
      </c>
      <c r="G406">
        <v>1</v>
      </c>
      <c r="H406" s="14">
        <v>2</v>
      </c>
      <c r="I406" s="16"/>
      <c r="J406" s="17">
        <v>46239</v>
      </c>
      <c r="K406" s="53">
        <v>1.5</v>
      </c>
      <c r="L406" s="3" t="s">
        <v>653</v>
      </c>
      <c r="M406" t="s">
        <v>389</v>
      </c>
    </row>
    <row r="407" spans="2:13" hidden="1">
      <c r="B407" s="14" t="s">
        <v>411</v>
      </c>
      <c r="C407" t="s">
        <v>649</v>
      </c>
      <c r="D407" s="14" t="s">
        <v>41</v>
      </c>
      <c r="E407" s="14" t="s">
        <v>23</v>
      </c>
      <c r="F407" t="s">
        <v>632</v>
      </c>
      <c r="G407">
        <v>1</v>
      </c>
      <c r="H407" s="3">
        <v>1.5</v>
      </c>
      <c r="I407" s="16"/>
      <c r="J407" s="17">
        <v>46239</v>
      </c>
      <c r="K407" s="17"/>
      <c r="L407" s="14" t="s">
        <v>654</v>
      </c>
      <c r="M407" t="s">
        <v>389</v>
      </c>
    </row>
    <row r="408" spans="2:13" hidden="1">
      <c r="B408" s="14" t="s">
        <v>411</v>
      </c>
      <c r="C408" t="s">
        <v>655</v>
      </c>
      <c r="D408" s="14" t="s">
        <v>41</v>
      </c>
      <c r="E408" s="14" t="s">
        <v>23</v>
      </c>
      <c r="F408" t="s">
        <v>632</v>
      </c>
      <c r="G408">
        <v>1</v>
      </c>
      <c r="H408" s="14">
        <v>1</v>
      </c>
      <c r="I408" s="16"/>
      <c r="J408" s="17">
        <v>46239</v>
      </c>
      <c r="K408" s="17"/>
      <c r="L408" s="14" t="s">
        <v>656</v>
      </c>
      <c r="M408" t="s">
        <v>389</v>
      </c>
    </row>
    <row r="409" spans="2:13" hidden="1">
      <c r="B409" s="14" t="s">
        <v>411</v>
      </c>
      <c r="C409" s="23" t="s">
        <v>404</v>
      </c>
      <c r="D409" s="14" t="s">
        <v>41</v>
      </c>
      <c r="E409" s="14" t="s">
        <v>23</v>
      </c>
      <c r="F409" t="s">
        <v>632</v>
      </c>
      <c r="G409">
        <v>1</v>
      </c>
      <c r="H409" s="14">
        <v>2</v>
      </c>
      <c r="I409" s="6"/>
      <c r="J409" s="17">
        <v>46239</v>
      </c>
      <c r="K409" s="17"/>
      <c r="L409" s="14" t="s">
        <v>657</v>
      </c>
      <c r="M409" t="s">
        <v>389</v>
      </c>
    </row>
    <row r="410" spans="2:13">
      <c r="B410" s="3" t="s">
        <v>306</v>
      </c>
      <c r="C410" s="14" t="s">
        <v>529</v>
      </c>
      <c r="D410" s="14" t="s">
        <v>41</v>
      </c>
      <c r="E410" s="14" t="s">
        <v>23</v>
      </c>
      <c r="F410" t="s">
        <v>658</v>
      </c>
      <c r="G410">
        <v>1</v>
      </c>
      <c r="H410" s="3">
        <v>1</v>
      </c>
      <c r="I410" s="6"/>
      <c r="J410" s="17">
        <v>46239</v>
      </c>
      <c r="K410" s="53">
        <v>1</v>
      </c>
      <c r="L410" s="3" t="s">
        <v>659</v>
      </c>
      <c r="M410" t="s">
        <v>389</v>
      </c>
    </row>
    <row r="411" spans="2:13" hidden="1">
      <c r="B411" s="3" t="s">
        <v>306</v>
      </c>
      <c r="C411" s="23" t="s">
        <v>404</v>
      </c>
      <c r="D411" s="14" t="s">
        <v>41</v>
      </c>
      <c r="E411" s="14" t="s">
        <v>23</v>
      </c>
      <c r="F411" t="s">
        <v>658</v>
      </c>
      <c r="G411">
        <v>1</v>
      </c>
      <c r="H411" s="3">
        <v>1.5</v>
      </c>
      <c r="I411" s="6"/>
      <c r="J411" s="17">
        <v>46239</v>
      </c>
      <c r="K411" s="55">
        <v>1</v>
      </c>
      <c r="L411" s="3"/>
      <c r="M411" t="s">
        <v>389</v>
      </c>
    </row>
    <row r="412" spans="2:13" hidden="1">
      <c r="B412" s="3" t="s">
        <v>306</v>
      </c>
      <c r="C412" t="s">
        <v>528</v>
      </c>
      <c r="D412" s="14" t="s">
        <v>41</v>
      </c>
      <c r="E412" s="14" t="s">
        <v>23</v>
      </c>
      <c r="F412" t="s">
        <v>658</v>
      </c>
      <c r="G412">
        <v>1</v>
      </c>
      <c r="H412" s="3">
        <v>0.75</v>
      </c>
      <c r="I412" s="6"/>
      <c r="J412" s="17">
        <v>46239</v>
      </c>
      <c r="K412" s="55">
        <v>1</v>
      </c>
      <c r="L412" s="3"/>
      <c r="M412" t="s">
        <v>389</v>
      </c>
    </row>
    <row r="413" spans="2:13">
      <c r="B413" s="3" t="s">
        <v>58</v>
      </c>
      <c r="C413" s="14" t="s">
        <v>529</v>
      </c>
      <c r="D413" s="14" t="s">
        <v>41</v>
      </c>
      <c r="E413" s="14" t="s">
        <v>23</v>
      </c>
      <c r="F413" t="s">
        <v>658</v>
      </c>
      <c r="G413">
        <v>1</v>
      </c>
      <c r="H413" s="3">
        <v>1</v>
      </c>
      <c r="I413" s="6"/>
      <c r="J413" s="17">
        <v>46239</v>
      </c>
      <c r="K413" s="55">
        <v>1</v>
      </c>
      <c r="L413" s="3" t="s">
        <v>660</v>
      </c>
      <c r="M413" t="s">
        <v>389</v>
      </c>
    </row>
    <row r="414" spans="2:13" hidden="1">
      <c r="B414" s="3" t="s">
        <v>58</v>
      </c>
      <c r="C414" s="23" t="s">
        <v>404</v>
      </c>
      <c r="D414" s="14" t="s">
        <v>41</v>
      </c>
      <c r="E414" s="14" t="s">
        <v>23</v>
      </c>
      <c r="F414" t="s">
        <v>658</v>
      </c>
      <c r="G414">
        <v>1</v>
      </c>
      <c r="H414" s="3">
        <v>1.5</v>
      </c>
      <c r="I414" s="6"/>
      <c r="J414" s="17">
        <v>46239</v>
      </c>
      <c r="K414" s="55">
        <v>1</v>
      </c>
      <c r="L414" s="3"/>
      <c r="M414" t="s">
        <v>389</v>
      </c>
    </row>
    <row r="415" spans="2:13" hidden="1">
      <c r="B415" s="3" t="s">
        <v>58</v>
      </c>
      <c r="C415" t="s">
        <v>528</v>
      </c>
      <c r="D415" s="14" t="s">
        <v>41</v>
      </c>
      <c r="E415" s="14" t="s">
        <v>23</v>
      </c>
      <c r="F415" t="s">
        <v>658</v>
      </c>
      <c r="G415">
        <v>1</v>
      </c>
      <c r="H415" s="3">
        <v>0.75</v>
      </c>
      <c r="I415" s="6"/>
      <c r="J415" s="17">
        <v>46239</v>
      </c>
      <c r="K415" s="69">
        <v>1</v>
      </c>
      <c r="L415" s="3"/>
      <c r="M415" t="s">
        <v>389</v>
      </c>
    </row>
    <row r="416" spans="2:13">
      <c r="B416" s="14" t="s">
        <v>39</v>
      </c>
      <c r="C416" t="s">
        <v>661</v>
      </c>
      <c r="D416" s="14" t="s">
        <v>22</v>
      </c>
      <c r="E416" s="14" t="s">
        <v>453</v>
      </c>
      <c r="F416" t="s">
        <v>662</v>
      </c>
      <c r="G416">
        <v>2</v>
      </c>
      <c r="H416" s="14">
        <v>11</v>
      </c>
      <c r="I416" s="16"/>
      <c r="J416" s="17">
        <v>46239</v>
      </c>
      <c r="K416" s="53">
        <v>11</v>
      </c>
      <c r="L416" s="14" t="s">
        <v>663</v>
      </c>
      <c r="M416" t="s">
        <v>389</v>
      </c>
    </row>
    <row r="417" spans="2:13" hidden="1">
      <c r="B417" s="14" t="s">
        <v>306</v>
      </c>
      <c r="C417" t="s">
        <v>664</v>
      </c>
      <c r="D417" s="14" t="s">
        <v>41</v>
      </c>
      <c r="E417" s="14" t="s">
        <v>23</v>
      </c>
      <c r="F417" t="s">
        <v>658</v>
      </c>
      <c r="G417">
        <v>1</v>
      </c>
      <c r="H417" s="14">
        <v>2</v>
      </c>
      <c r="I417" s="16"/>
      <c r="J417" s="17">
        <v>46239</v>
      </c>
      <c r="K417" s="17"/>
      <c r="L417" s="14" t="s">
        <v>665</v>
      </c>
      <c r="M417" t="s">
        <v>389</v>
      </c>
    </row>
    <row r="418" spans="2:13" hidden="1">
      <c r="B418" s="14" t="s">
        <v>58</v>
      </c>
      <c r="C418" t="s">
        <v>666</v>
      </c>
      <c r="D418" s="14" t="s">
        <v>41</v>
      </c>
      <c r="E418" s="14" t="s">
        <v>23</v>
      </c>
      <c r="F418" t="s">
        <v>658</v>
      </c>
      <c r="G418">
        <v>1</v>
      </c>
      <c r="H418" s="14">
        <v>2</v>
      </c>
      <c r="I418" s="16"/>
      <c r="J418" s="17">
        <v>46239</v>
      </c>
      <c r="K418" s="17"/>
      <c r="L418" s="14" t="s">
        <v>667</v>
      </c>
      <c r="M418" t="s">
        <v>389</v>
      </c>
    </row>
    <row r="419" spans="2:13" hidden="1">
      <c r="B419" s="14" t="s">
        <v>204</v>
      </c>
      <c r="D419" s="14"/>
      <c r="E419" s="14"/>
      <c r="H419" s="14"/>
      <c r="I419" s="16"/>
      <c r="J419" s="17"/>
      <c r="K419" s="17"/>
      <c r="L419" s="14"/>
    </row>
    <row r="420" spans="2:13" hidden="1">
      <c r="B420" s="14" t="s">
        <v>411</v>
      </c>
      <c r="C420" t="s">
        <v>668</v>
      </c>
      <c r="D420" s="14" t="s">
        <v>41</v>
      </c>
      <c r="E420" s="14" t="s">
        <v>23</v>
      </c>
      <c r="F420" t="s">
        <v>632</v>
      </c>
      <c r="G420">
        <v>1</v>
      </c>
      <c r="H420" s="14">
        <v>3</v>
      </c>
      <c r="I420" s="16"/>
      <c r="J420" s="17">
        <v>46239</v>
      </c>
      <c r="K420" s="17"/>
      <c r="L420" s="14" t="s">
        <v>669</v>
      </c>
      <c r="M420" t="s">
        <v>389</v>
      </c>
    </row>
    <row r="421" spans="2:13" hidden="1">
      <c r="B421" s="14" t="s">
        <v>278</v>
      </c>
      <c r="C421" t="s">
        <v>670</v>
      </c>
      <c r="D421" s="14" t="s">
        <v>41</v>
      </c>
      <c r="E421" s="14" t="s">
        <v>23</v>
      </c>
      <c r="F421" t="s">
        <v>650</v>
      </c>
      <c r="G421">
        <v>1</v>
      </c>
      <c r="H421" s="14">
        <v>4</v>
      </c>
      <c r="I421" s="16"/>
      <c r="J421" s="17">
        <v>46239</v>
      </c>
      <c r="K421" s="17"/>
      <c r="L421" s="14" t="s">
        <v>667</v>
      </c>
      <c r="M421" t="s">
        <v>389</v>
      </c>
    </row>
    <row r="422" spans="2:13" hidden="1">
      <c r="B422" s="14" t="s">
        <v>48</v>
      </c>
      <c r="C422" t="s">
        <v>671</v>
      </c>
      <c r="D422" s="14" t="s">
        <v>41</v>
      </c>
      <c r="E422" s="14" t="s">
        <v>23</v>
      </c>
      <c r="F422" t="s">
        <v>672</v>
      </c>
      <c r="G422">
        <v>1</v>
      </c>
      <c r="H422" s="14">
        <v>5</v>
      </c>
      <c r="I422" s="16"/>
      <c r="J422" s="17">
        <v>46239</v>
      </c>
      <c r="K422" s="17"/>
      <c r="L422" s="14" t="s">
        <v>673</v>
      </c>
      <c r="M422" t="s">
        <v>389</v>
      </c>
    </row>
    <row r="423" spans="2:13">
      <c r="B423" s="14" t="s">
        <v>48</v>
      </c>
      <c r="C423" t="s">
        <v>674</v>
      </c>
      <c r="D423" s="14" t="s">
        <v>41</v>
      </c>
      <c r="E423" s="14" t="s">
        <v>23</v>
      </c>
      <c r="F423" t="s">
        <v>672</v>
      </c>
      <c r="G423">
        <v>1</v>
      </c>
      <c r="H423" s="14">
        <v>3</v>
      </c>
      <c r="I423" s="16"/>
      <c r="J423" s="17">
        <v>46239</v>
      </c>
      <c r="K423" s="17">
        <v>4</v>
      </c>
      <c r="L423" s="14" t="s">
        <v>675</v>
      </c>
      <c r="M423" t="s">
        <v>389</v>
      </c>
    </row>
    <row r="424" spans="2:13">
      <c r="B424" s="14" t="s">
        <v>30</v>
      </c>
      <c r="C424" t="s">
        <v>676</v>
      </c>
      <c r="D424" s="14" t="s">
        <v>22</v>
      </c>
      <c r="E424" s="14" t="s">
        <v>453</v>
      </c>
      <c r="F424" t="s">
        <v>618</v>
      </c>
      <c r="G424">
        <v>1</v>
      </c>
      <c r="H424" s="14">
        <v>1</v>
      </c>
      <c r="I424" s="16"/>
      <c r="J424" s="17">
        <v>46239</v>
      </c>
      <c r="K424" s="53">
        <v>1</v>
      </c>
      <c r="L424" s="14" t="s">
        <v>677</v>
      </c>
      <c r="M424" t="s">
        <v>389</v>
      </c>
    </row>
    <row r="425" spans="2:13">
      <c r="B425" s="14" t="s">
        <v>30</v>
      </c>
      <c r="C425" t="s">
        <v>678</v>
      </c>
      <c r="D425" s="14" t="s">
        <v>22</v>
      </c>
      <c r="E425" s="14" t="s">
        <v>453</v>
      </c>
      <c r="F425" t="s">
        <v>618</v>
      </c>
      <c r="G425">
        <v>1</v>
      </c>
      <c r="H425" s="14">
        <v>1</v>
      </c>
      <c r="I425" s="16"/>
      <c r="J425" s="17">
        <v>46239</v>
      </c>
      <c r="K425" s="53">
        <v>1</v>
      </c>
      <c r="L425" s="14" t="s">
        <v>677</v>
      </c>
      <c r="M425" t="s">
        <v>389</v>
      </c>
    </row>
    <row r="426" spans="2:13">
      <c r="B426" s="14" t="s">
        <v>30</v>
      </c>
      <c r="C426" t="s">
        <v>679</v>
      </c>
      <c r="D426" s="14" t="s">
        <v>22</v>
      </c>
      <c r="E426" s="14" t="s">
        <v>453</v>
      </c>
      <c r="F426" t="s">
        <v>618</v>
      </c>
      <c r="G426">
        <v>1</v>
      </c>
      <c r="H426" s="14">
        <v>1</v>
      </c>
      <c r="I426" s="16"/>
      <c r="J426" s="17">
        <v>46239</v>
      </c>
      <c r="K426" s="53">
        <v>1</v>
      </c>
      <c r="L426" s="14" t="s">
        <v>677</v>
      </c>
      <c r="M426" t="s">
        <v>389</v>
      </c>
    </row>
    <row r="427" spans="2:13">
      <c r="B427" s="14" t="s">
        <v>103</v>
      </c>
      <c r="C427" t="s">
        <v>680</v>
      </c>
      <c r="D427" s="14" t="s">
        <v>41</v>
      </c>
      <c r="E427" s="14" t="s">
        <v>453</v>
      </c>
      <c r="F427" t="s">
        <v>681</v>
      </c>
      <c r="G427">
        <v>1</v>
      </c>
      <c r="H427" s="14">
        <v>7</v>
      </c>
      <c r="I427" s="16"/>
      <c r="J427" s="17">
        <v>46244</v>
      </c>
      <c r="K427" s="53">
        <v>6</v>
      </c>
      <c r="L427" s="14" t="s">
        <v>682</v>
      </c>
      <c r="M427" t="s">
        <v>389</v>
      </c>
    </row>
    <row r="428" spans="2:13">
      <c r="B428" s="14" t="s">
        <v>12</v>
      </c>
      <c r="C428" t="s">
        <v>683</v>
      </c>
      <c r="D428" s="14" t="s">
        <v>41</v>
      </c>
      <c r="E428" s="14" t="s">
        <v>23</v>
      </c>
      <c r="F428" t="s">
        <v>684</v>
      </c>
      <c r="G428">
        <v>3</v>
      </c>
      <c r="H428" s="14">
        <v>3</v>
      </c>
      <c r="I428" s="16"/>
      <c r="J428" s="17">
        <v>46244</v>
      </c>
      <c r="K428" s="53">
        <v>6</v>
      </c>
      <c r="L428" s="14" t="s">
        <v>685</v>
      </c>
      <c r="M428" t="s">
        <v>389</v>
      </c>
    </row>
    <row r="429" spans="2:13" hidden="1">
      <c r="B429" s="14" t="s">
        <v>686</v>
      </c>
      <c r="C429" t="s">
        <v>687</v>
      </c>
      <c r="D429" s="14" t="s">
        <v>41</v>
      </c>
      <c r="E429" s="14" t="s">
        <v>453</v>
      </c>
      <c r="F429" t="s">
        <v>688</v>
      </c>
      <c r="G429">
        <v>1</v>
      </c>
      <c r="H429" s="14">
        <v>2</v>
      </c>
      <c r="I429" s="16"/>
      <c r="J429" s="17">
        <v>46244</v>
      </c>
      <c r="K429" s="53">
        <v>6</v>
      </c>
      <c r="L429" s="14"/>
      <c r="M429" t="s">
        <v>389</v>
      </c>
    </row>
    <row r="430" spans="2:13" hidden="1">
      <c r="B430" s="14" t="s">
        <v>30</v>
      </c>
      <c r="C430" t="s">
        <v>689</v>
      </c>
      <c r="D430" s="14" t="s">
        <v>41</v>
      </c>
      <c r="E430" s="14" t="s">
        <v>23</v>
      </c>
      <c r="G430">
        <v>2</v>
      </c>
      <c r="H430" s="14">
        <v>4</v>
      </c>
      <c r="I430" s="16"/>
      <c r="J430" s="17">
        <v>46244</v>
      </c>
      <c r="K430" s="53">
        <v>3</v>
      </c>
      <c r="L430" s="14" t="s">
        <v>690</v>
      </c>
      <c r="M430" t="s">
        <v>389</v>
      </c>
    </row>
    <row r="431" spans="2:13" hidden="1">
      <c r="B431" s="14" t="s">
        <v>30</v>
      </c>
      <c r="C431" t="s">
        <v>691</v>
      </c>
      <c r="D431" s="14" t="s">
        <v>41</v>
      </c>
      <c r="E431" s="14" t="s">
        <v>23</v>
      </c>
      <c r="G431">
        <v>3</v>
      </c>
      <c r="H431" s="14">
        <v>5</v>
      </c>
      <c r="I431" s="16"/>
      <c r="J431" s="17">
        <v>46244</v>
      </c>
      <c r="K431" s="53">
        <v>1.5</v>
      </c>
      <c r="L431" s="14" t="s">
        <v>692</v>
      </c>
      <c r="M431" t="s">
        <v>389</v>
      </c>
    </row>
    <row r="432" spans="2:13" hidden="1">
      <c r="B432" s="14" t="s">
        <v>30</v>
      </c>
      <c r="C432" t="s">
        <v>693</v>
      </c>
      <c r="D432" s="14" t="s">
        <v>41</v>
      </c>
      <c r="E432" s="14" t="s">
        <v>23</v>
      </c>
      <c r="G432">
        <v>4</v>
      </c>
      <c r="H432" s="14">
        <v>5</v>
      </c>
      <c r="I432" s="16"/>
      <c r="J432" s="17">
        <v>46244</v>
      </c>
      <c r="K432" s="53"/>
      <c r="L432" s="14"/>
      <c r="M432" t="s">
        <v>454</v>
      </c>
    </row>
    <row r="433" spans="2:13">
      <c r="B433" s="14" t="s">
        <v>12</v>
      </c>
      <c r="C433" t="s">
        <v>694</v>
      </c>
      <c r="D433" s="14" t="s">
        <v>41</v>
      </c>
      <c r="E433" s="14" t="s">
        <v>453</v>
      </c>
      <c r="F433" t="s">
        <v>695</v>
      </c>
      <c r="G433">
        <v>1</v>
      </c>
      <c r="H433" s="14">
        <v>5</v>
      </c>
      <c r="I433" s="16"/>
      <c r="J433" s="17">
        <v>46244</v>
      </c>
      <c r="K433" s="53">
        <v>5</v>
      </c>
      <c r="L433" s="14" t="s">
        <v>696</v>
      </c>
      <c r="M433" t="s">
        <v>389</v>
      </c>
    </row>
    <row r="434" spans="2:13">
      <c r="B434" s="14" t="s">
        <v>639</v>
      </c>
      <c r="C434" t="s">
        <v>697</v>
      </c>
      <c r="D434" s="14" t="s">
        <v>41</v>
      </c>
      <c r="E434" s="14" t="s">
        <v>453</v>
      </c>
      <c r="F434" t="s">
        <v>695</v>
      </c>
      <c r="G434">
        <v>1</v>
      </c>
      <c r="H434" s="14">
        <v>2</v>
      </c>
      <c r="I434" s="16"/>
      <c r="J434" s="17">
        <v>46244</v>
      </c>
      <c r="K434" s="53">
        <v>4</v>
      </c>
      <c r="L434" s="14" t="s">
        <v>698</v>
      </c>
      <c r="M434" t="s">
        <v>389</v>
      </c>
    </row>
    <row r="435" spans="2:13" hidden="1">
      <c r="B435" s="14" t="s">
        <v>30</v>
      </c>
      <c r="C435" t="s">
        <v>699</v>
      </c>
      <c r="D435" s="14" t="s">
        <v>41</v>
      </c>
      <c r="E435" s="14" t="s">
        <v>453</v>
      </c>
      <c r="F435" t="s">
        <v>688</v>
      </c>
      <c r="G435">
        <v>1</v>
      </c>
      <c r="H435" s="14">
        <v>5</v>
      </c>
      <c r="I435" s="16"/>
      <c r="J435" s="17">
        <v>46244</v>
      </c>
      <c r="K435" s="53">
        <v>0.5</v>
      </c>
      <c r="L435" s="14"/>
      <c r="M435" t="s">
        <v>389</v>
      </c>
    </row>
    <row r="436" spans="2:13" hidden="1">
      <c r="B436" s="14" t="s">
        <v>30</v>
      </c>
      <c r="C436" t="s">
        <v>700</v>
      </c>
      <c r="D436" s="14" t="s">
        <v>41</v>
      </c>
      <c r="E436" s="14" t="s">
        <v>453</v>
      </c>
      <c r="F436" t="s">
        <v>618</v>
      </c>
      <c r="G436">
        <v>1</v>
      </c>
      <c r="H436" s="14">
        <v>7</v>
      </c>
      <c r="I436" s="16"/>
      <c r="J436" s="17">
        <v>46244</v>
      </c>
      <c r="K436" s="53"/>
      <c r="L436" s="14"/>
      <c r="M436" t="s">
        <v>454</v>
      </c>
    </row>
    <row r="437" spans="2:13">
      <c r="B437" s="14" t="s">
        <v>58</v>
      </c>
      <c r="C437" t="s">
        <v>701</v>
      </c>
      <c r="D437" s="14" t="s">
        <v>41</v>
      </c>
      <c r="E437" s="14" t="s">
        <v>408</v>
      </c>
      <c r="F437" t="s">
        <v>626</v>
      </c>
      <c r="G437">
        <v>1</v>
      </c>
      <c r="H437" s="14">
        <v>3.5</v>
      </c>
      <c r="I437" s="16"/>
      <c r="J437" s="17">
        <v>46244</v>
      </c>
      <c r="K437" s="53">
        <v>4</v>
      </c>
      <c r="L437" s="14" t="s">
        <v>702</v>
      </c>
      <c r="M437" t="s">
        <v>389</v>
      </c>
    </row>
    <row r="438" spans="2:13">
      <c r="B438" s="14" t="s">
        <v>703</v>
      </c>
      <c r="C438" t="s">
        <v>704</v>
      </c>
      <c r="D438" s="14" t="s">
        <v>41</v>
      </c>
      <c r="E438" s="14" t="s">
        <v>408</v>
      </c>
      <c r="F438" t="s">
        <v>705</v>
      </c>
      <c r="G438">
        <v>1</v>
      </c>
      <c r="H438" s="14">
        <v>5</v>
      </c>
      <c r="I438" s="16"/>
      <c r="J438" s="17">
        <v>46244</v>
      </c>
      <c r="K438" s="53">
        <v>4</v>
      </c>
      <c r="L438" s="14" t="s">
        <v>706</v>
      </c>
      <c r="M438" t="s">
        <v>389</v>
      </c>
    </row>
    <row r="439" spans="2:13">
      <c r="B439" s="14" t="s">
        <v>707</v>
      </c>
      <c r="C439" t="s">
        <v>708</v>
      </c>
      <c r="D439" s="14" t="s">
        <v>41</v>
      </c>
      <c r="E439" s="14" t="s">
        <v>408</v>
      </c>
      <c r="F439" t="s">
        <v>620</v>
      </c>
      <c r="G439">
        <v>1</v>
      </c>
      <c r="H439" s="14">
        <v>7</v>
      </c>
      <c r="I439" s="16"/>
      <c r="J439" s="17">
        <v>46244</v>
      </c>
      <c r="K439" s="53">
        <v>6</v>
      </c>
      <c r="L439" s="14" t="s">
        <v>709</v>
      </c>
      <c r="M439" t="s">
        <v>389</v>
      </c>
    </row>
    <row r="440" spans="2:13" hidden="1">
      <c r="B440" s="14" t="s">
        <v>30</v>
      </c>
      <c r="C440" t="s">
        <v>710</v>
      </c>
      <c r="D440" s="14" t="s">
        <v>41</v>
      </c>
      <c r="E440" s="14" t="s">
        <v>453</v>
      </c>
      <c r="F440" t="s">
        <v>636</v>
      </c>
      <c r="G440">
        <v>1</v>
      </c>
      <c r="H440" s="14">
        <v>1</v>
      </c>
      <c r="I440" s="16"/>
      <c r="J440" s="17">
        <v>46244</v>
      </c>
      <c r="K440" s="53">
        <v>1</v>
      </c>
      <c r="L440" s="14"/>
      <c r="M440" t="s">
        <v>389</v>
      </c>
    </row>
    <row r="441" spans="2:13">
      <c r="B441" s="14" t="s">
        <v>30</v>
      </c>
      <c r="C441" t="s">
        <v>711</v>
      </c>
      <c r="D441" s="14" t="s">
        <v>41</v>
      </c>
      <c r="E441" s="14" t="s">
        <v>453</v>
      </c>
      <c r="F441" t="s">
        <v>636</v>
      </c>
      <c r="G441">
        <v>1</v>
      </c>
      <c r="H441" s="14">
        <v>3</v>
      </c>
      <c r="I441" s="16"/>
      <c r="J441" s="17">
        <v>46244</v>
      </c>
      <c r="K441" s="53">
        <v>3</v>
      </c>
      <c r="L441" s="14" t="s">
        <v>712</v>
      </c>
      <c r="M441" t="s">
        <v>389</v>
      </c>
    </row>
    <row r="442" spans="2:13">
      <c r="B442" s="14" t="s">
        <v>12</v>
      </c>
      <c r="C442" t="s">
        <v>713</v>
      </c>
      <c r="D442" s="14" t="s">
        <v>41</v>
      </c>
      <c r="E442" s="14" t="s">
        <v>453</v>
      </c>
      <c r="F442" t="s">
        <v>636</v>
      </c>
      <c r="G442">
        <v>1</v>
      </c>
      <c r="H442" s="14">
        <v>3</v>
      </c>
      <c r="I442" s="16"/>
      <c r="J442" s="17">
        <v>46244</v>
      </c>
      <c r="K442" s="53">
        <v>3</v>
      </c>
      <c r="L442" s="14" t="s">
        <v>714</v>
      </c>
      <c r="M442" t="s">
        <v>389</v>
      </c>
    </row>
    <row r="443" spans="2:13">
      <c r="B443" s="14" t="s">
        <v>12</v>
      </c>
      <c r="C443" t="s">
        <v>715</v>
      </c>
      <c r="D443" s="14" t="s">
        <v>22</v>
      </c>
      <c r="E443" s="14" t="s">
        <v>453</v>
      </c>
      <c r="F443" t="s">
        <v>681</v>
      </c>
      <c r="G443">
        <v>1</v>
      </c>
      <c r="H443" s="14">
        <v>1.5</v>
      </c>
      <c r="I443" s="16"/>
      <c r="J443" s="17">
        <v>46251</v>
      </c>
      <c r="K443" s="53">
        <v>1.5</v>
      </c>
      <c r="L443" s="14" t="s">
        <v>716</v>
      </c>
      <c r="M443" t="s">
        <v>389</v>
      </c>
    </row>
    <row r="444" spans="2:13" hidden="1">
      <c r="B444" s="3" t="s">
        <v>39</v>
      </c>
      <c r="C444" t="s">
        <v>579</v>
      </c>
      <c r="D444" s="3" t="s">
        <v>41</v>
      </c>
      <c r="E444" s="3" t="s">
        <v>23</v>
      </c>
      <c r="G444">
        <v>1</v>
      </c>
      <c r="H444" s="3">
        <v>4</v>
      </c>
      <c r="I444" s="6"/>
      <c r="J444" s="4">
        <v>46248</v>
      </c>
      <c r="K444" s="17"/>
      <c r="L444" s="3" t="s">
        <v>717</v>
      </c>
      <c r="M444" t="s">
        <v>389</v>
      </c>
    </row>
    <row r="445" spans="2:13" hidden="1">
      <c r="B445" s="3" t="s">
        <v>411</v>
      </c>
      <c r="C445" t="s">
        <v>647</v>
      </c>
      <c r="D445" s="3" t="s">
        <v>41</v>
      </c>
      <c r="E445" s="3" t="s">
        <v>23</v>
      </c>
      <c r="G445">
        <v>1</v>
      </c>
      <c r="H445" s="3">
        <v>2</v>
      </c>
      <c r="I445" s="6"/>
      <c r="J445" s="4">
        <v>46248</v>
      </c>
      <c r="K445" s="17"/>
      <c r="L445" s="3" t="s">
        <v>718</v>
      </c>
      <c r="M445" t="s">
        <v>467</v>
      </c>
    </row>
    <row r="446" spans="2:13" hidden="1">
      <c r="B446" s="3" t="s">
        <v>278</v>
      </c>
      <c r="C446" t="s">
        <v>649</v>
      </c>
      <c r="D446" s="3" t="s">
        <v>41</v>
      </c>
      <c r="E446" s="3" t="s">
        <v>23</v>
      </c>
      <c r="G446">
        <v>1</v>
      </c>
      <c r="H446" s="3">
        <v>1.5</v>
      </c>
      <c r="I446" s="6"/>
      <c r="J446" s="4">
        <v>46248</v>
      </c>
      <c r="K446" s="17"/>
      <c r="L446" s="3" t="s">
        <v>719</v>
      </c>
      <c r="M446" t="s">
        <v>467</v>
      </c>
    </row>
    <row r="447" spans="2:13" hidden="1">
      <c r="B447" s="3" t="s">
        <v>278</v>
      </c>
      <c r="C447" t="s">
        <v>528</v>
      </c>
      <c r="D447" s="3" t="s">
        <v>41</v>
      </c>
      <c r="E447" s="3" t="s">
        <v>23</v>
      </c>
      <c r="G447">
        <v>1</v>
      </c>
      <c r="H447" s="3">
        <v>1</v>
      </c>
      <c r="I447" s="6"/>
      <c r="J447" s="4">
        <v>46248</v>
      </c>
      <c r="K447" s="69"/>
      <c r="L447" s="3" t="s">
        <v>719</v>
      </c>
      <c r="M447" t="s">
        <v>467</v>
      </c>
    </row>
    <row r="448" spans="2:13" hidden="1">
      <c r="B448" s="3" t="s">
        <v>278</v>
      </c>
      <c r="C448" s="23" t="s">
        <v>404</v>
      </c>
      <c r="D448" s="3" t="s">
        <v>41</v>
      </c>
      <c r="E448" s="3" t="s">
        <v>23</v>
      </c>
      <c r="G448">
        <v>1</v>
      </c>
      <c r="H448" s="3">
        <v>2</v>
      </c>
      <c r="I448" s="6"/>
      <c r="J448" s="4">
        <v>46248</v>
      </c>
      <c r="K448" s="17"/>
      <c r="L448" s="3" t="s">
        <v>719</v>
      </c>
      <c r="M448" t="s">
        <v>467</v>
      </c>
    </row>
    <row r="449" spans="2:13" hidden="1">
      <c r="B449" s="3" t="s">
        <v>411</v>
      </c>
      <c r="C449" t="s">
        <v>649</v>
      </c>
      <c r="D449" s="3" t="s">
        <v>41</v>
      </c>
      <c r="E449" s="3" t="s">
        <v>23</v>
      </c>
      <c r="G449">
        <v>1</v>
      </c>
      <c r="H449" s="3">
        <v>1.5</v>
      </c>
      <c r="I449" s="6"/>
      <c r="J449" s="4">
        <v>46248</v>
      </c>
      <c r="K449" s="17"/>
      <c r="L449" s="3" t="s">
        <v>720</v>
      </c>
      <c r="M449" t="s">
        <v>467</v>
      </c>
    </row>
    <row r="450" spans="2:13" hidden="1">
      <c r="B450" s="3" t="s">
        <v>411</v>
      </c>
      <c r="C450" t="s">
        <v>655</v>
      </c>
      <c r="D450" s="3" t="s">
        <v>41</v>
      </c>
      <c r="E450" s="3" t="s">
        <v>23</v>
      </c>
      <c r="G450">
        <v>1</v>
      </c>
      <c r="H450" s="3">
        <v>1</v>
      </c>
      <c r="I450" s="6"/>
      <c r="J450" s="4">
        <v>46248</v>
      </c>
      <c r="K450" s="17"/>
      <c r="L450" s="3" t="s">
        <v>721</v>
      </c>
      <c r="M450" t="s">
        <v>389</v>
      </c>
    </row>
    <row r="451" spans="2:13" hidden="1">
      <c r="B451" s="3" t="s">
        <v>411</v>
      </c>
      <c r="C451" s="23" t="s">
        <v>404</v>
      </c>
      <c r="D451" s="3" t="s">
        <v>41</v>
      </c>
      <c r="E451" s="3" t="s">
        <v>23</v>
      </c>
      <c r="G451">
        <v>1</v>
      </c>
      <c r="H451" s="3">
        <v>2</v>
      </c>
      <c r="I451" s="6"/>
      <c r="J451" s="4">
        <v>46248</v>
      </c>
      <c r="K451" s="17"/>
      <c r="L451" s="3" t="s">
        <v>722</v>
      </c>
      <c r="M451" t="s">
        <v>389</v>
      </c>
    </row>
    <row r="452" spans="2:13" hidden="1">
      <c r="B452" s="3" t="s">
        <v>306</v>
      </c>
      <c r="C452" s="14" t="s">
        <v>529</v>
      </c>
      <c r="D452" s="3" t="s">
        <v>41</v>
      </c>
      <c r="E452" s="3" t="s">
        <v>23</v>
      </c>
      <c r="G452">
        <v>1</v>
      </c>
      <c r="H452" s="3">
        <v>1</v>
      </c>
      <c r="I452" s="6"/>
      <c r="J452" s="4">
        <v>46248</v>
      </c>
      <c r="K452" s="17"/>
      <c r="L452" s="3"/>
      <c r="M452" t="s">
        <v>454</v>
      </c>
    </row>
    <row r="453" spans="2:13" hidden="1">
      <c r="B453" s="3" t="s">
        <v>306</v>
      </c>
      <c r="C453" s="23" t="s">
        <v>404</v>
      </c>
      <c r="D453" s="3" t="s">
        <v>41</v>
      </c>
      <c r="E453" s="3" t="s">
        <v>23</v>
      </c>
      <c r="G453">
        <v>1</v>
      </c>
      <c r="H453" s="3">
        <v>1.5</v>
      </c>
      <c r="I453" s="6"/>
      <c r="J453" s="4">
        <v>46248</v>
      </c>
      <c r="K453" s="69"/>
      <c r="L453" s="3"/>
      <c r="M453" t="s">
        <v>454</v>
      </c>
    </row>
    <row r="454" spans="2:13" hidden="1">
      <c r="B454" s="3" t="s">
        <v>306</v>
      </c>
      <c r="C454" t="s">
        <v>528</v>
      </c>
      <c r="D454" s="3" t="s">
        <v>41</v>
      </c>
      <c r="E454" s="3" t="s">
        <v>23</v>
      </c>
      <c r="G454">
        <v>1</v>
      </c>
      <c r="H454" s="3">
        <v>0.75</v>
      </c>
      <c r="I454" s="6"/>
      <c r="J454" s="4">
        <v>46248</v>
      </c>
      <c r="K454" s="69"/>
      <c r="L454" s="3"/>
      <c r="M454" t="s">
        <v>454</v>
      </c>
    </row>
    <row r="455" spans="2:13" hidden="1">
      <c r="B455" s="3" t="s">
        <v>58</v>
      </c>
      <c r="C455" s="14" t="s">
        <v>529</v>
      </c>
      <c r="D455" s="3" t="s">
        <v>41</v>
      </c>
      <c r="E455" s="3" t="s">
        <v>23</v>
      </c>
      <c r="G455">
        <v>1</v>
      </c>
      <c r="H455" s="3">
        <v>1</v>
      </c>
      <c r="I455" s="6"/>
      <c r="J455" s="4">
        <v>46248</v>
      </c>
      <c r="K455" s="69"/>
      <c r="L455" s="3"/>
      <c r="M455" t="s">
        <v>454</v>
      </c>
    </row>
    <row r="456" spans="2:13" hidden="1">
      <c r="B456" s="3" t="s">
        <v>58</v>
      </c>
      <c r="C456" s="23" t="s">
        <v>404</v>
      </c>
      <c r="D456" s="3" t="s">
        <v>41</v>
      </c>
      <c r="E456" s="3" t="s">
        <v>23</v>
      </c>
      <c r="G456">
        <v>1</v>
      </c>
      <c r="H456" s="3">
        <v>1.5</v>
      </c>
      <c r="I456" s="6"/>
      <c r="J456" s="4">
        <v>46248</v>
      </c>
      <c r="K456" s="69"/>
      <c r="L456" s="3"/>
      <c r="M456" t="s">
        <v>454</v>
      </c>
    </row>
    <row r="457" spans="2:13" hidden="1">
      <c r="B457" s="3" t="s">
        <v>58</v>
      </c>
      <c r="C457" t="s">
        <v>528</v>
      </c>
      <c r="D457" s="3" t="s">
        <v>41</v>
      </c>
      <c r="E457" s="3" t="s">
        <v>23</v>
      </c>
      <c r="G457">
        <v>1</v>
      </c>
      <c r="H457" s="3">
        <v>0.75</v>
      </c>
      <c r="I457" s="6"/>
      <c r="J457" s="4">
        <v>46248</v>
      </c>
      <c r="K457" s="69"/>
      <c r="L457" s="3"/>
      <c r="M457" t="s">
        <v>454</v>
      </c>
    </row>
    <row r="458" spans="2:13" hidden="1">
      <c r="B458" s="3"/>
      <c r="D458" s="3"/>
      <c r="E458" s="3"/>
      <c r="H458" s="3"/>
      <c r="I458" s="6"/>
      <c r="J458" s="4"/>
      <c r="K458" s="69"/>
      <c r="L458" s="3"/>
    </row>
    <row r="459" spans="2:13" hidden="1">
      <c r="B459" s="3"/>
      <c r="D459" s="3"/>
      <c r="E459" s="3"/>
      <c r="H459" s="3"/>
      <c r="I459" s="6"/>
      <c r="J459" s="4"/>
      <c r="K459" s="69"/>
      <c r="L459" s="3"/>
    </row>
    <row r="460" spans="2:13" hidden="1">
      <c r="B460" s="3"/>
      <c r="D460" s="3"/>
      <c r="E460" s="3"/>
      <c r="H460" s="3"/>
      <c r="I460" s="6"/>
      <c r="J460" s="4"/>
      <c r="K460" s="69"/>
      <c r="L460" s="3"/>
    </row>
    <row r="461" spans="2:13" hidden="1">
      <c r="B461" s="3"/>
      <c r="D461" s="3"/>
      <c r="E461" s="3"/>
      <c r="H461" s="3"/>
      <c r="I461" s="6"/>
      <c r="J461" s="4"/>
      <c r="K461" s="69"/>
      <c r="L461" s="3"/>
    </row>
    <row r="462" spans="2:13" hidden="1">
      <c r="B462" s="3"/>
      <c r="D462" s="3"/>
      <c r="E462" s="3"/>
      <c r="H462" s="3"/>
      <c r="I462" s="6"/>
      <c r="J462" s="4"/>
      <c r="K462" s="69"/>
      <c r="L462" s="3"/>
    </row>
    <row r="463" spans="2:13" hidden="1">
      <c r="B463" s="3"/>
      <c r="D463" s="3"/>
      <c r="E463" s="3"/>
      <c r="H463" s="3"/>
      <c r="I463" s="6"/>
      <c r="J463" s="4"/>
      <c r="K463" s="69"/>
      <c r="L463" s="3"/>
    </row>
    <row r="464" spans="2:13" hidden="1">
      <c r="B464" s="3"/>
      <c r="D464" s="3"/>
      <c r="E464" s="3"/>
      <c r="H464" s="3"/>
      <c r="I464" s="6"/>
      <c r="J464" s="4"/>
      <c r="K464" s="69"/>
      <c r="L464" s="3"/>
    </row>
    <row r="465" spans="2:13" hidden="1">
      <c r="B465" s="3"/>
      <c r="D465" s="3"/>
      <c r="E465" s="3"/>
      <c r="H465" s="3"/>
      <c r="I465" s="6"/>
      <c r="J465" s="4"/>
      <c r="K465" s="69"/>
      <c r="L465" s="3"/>
    </row>
    <row r="466" spans="2:13" hidden="1">
      <c r="B466" s="3"/>
      <c r="D466" s="3"/>
      <c r="E466" s="3"/>
      <c r="H466" s="3"/>
      <c r="I466" s="6"/>
      <c r="J466" s="4"/>
      <c r="K466" s="69"/>
      <c r="L466" s="3"/>
    </row>
    <row r="467" spans="2:13" hidden="1">
      <c r="B467" s="14"/>
      <c r="D467" s="14"/>
      <c r="E467" s="14"/>
      <c r="H467" s="14"/>
      <c r="I467" s="16"/>
      <c r="J467" s="17"/>
      <c r="K467" s="69"/>
      <c r="L467" s="14"/>
    </row>
    <row r="468" spans="2:13" hidden="1">
      <c r="B468" s="3" t="s">
        <v>103</v>
      </c>
      <c r="C468" t="s">
        <v>609</v>
      </c>
      <c r="D468" s="3" t="s">
        <v>41</v>
      </c>
      <c r="E468" s="3" t="s">
        <v>23</v>
      </c>
      <c r="G468">
        <v>1</v>
      </c>
      <c r="H468" s="3">
        <v>2</v>
      </c>
      <c r="I468" s="6"/>
      <c r="J468" s="4">
        <v>46248</v>
      </c>
      <c r="K468" s="17"/>
      <c r="L468" s="3"/>
      <c r="M468" t="s">
        <v>389</v>
      </c>
    </row>
    <row r="469" spans="2:13" hidden="1">
      <c r="B469" s="3" t="s">
        <v>103</v>
      </c>
      <c r="C469" s="59" t="s">
        <v>558</v>
      </c>
      <c r="D469" s="3" t="s">
        <v>41</v>
      </c>
      <c r="E469" s="3" t="s">
        <v>23</v>
      </c>
      <c r="G469">
        <v>1</v>
      </c>
      <c r="H469" s="3">
        <v>0.5</v>
      </c>
      <c r="I469" s="6"/>
      <c r="J469" s="4">
        <v>46248</v>
      </c>
      <c r="K469" s="17"/>
      <c r="L469" s="3"/>
      <c r="M469" t="s">
        <v>389</v>
      </c>
    </row>
    <row r="470" spans="2:13" hidden="1">
      <c r="B470" s="3" t="s">
        <v>103</v>
      </c>
      <c r="C470" s="60" t="s">
        <v>560</v>
      </c>
      <c r="D470" s="3" t="s">
        <v>41</v>
      </c>
      <c r="E470" s="3" t="s">
        <v>23</v>
      </c>
      <c r="G470">
        <v>1</v>
      </c>
      <c r="H470" s="3">
        <v>1</v>
      </c>
      <c r="I470" s="6"/>
      <c r="J470" s="4">
        <v>46248</v>
      </c>
      <c r="K470" s="17"/>
      <c r="L470" s="3"/>
      <c r="M470" t="s">
        <v>389</v>
      </c>
    </row>
    <row r="471" spans="2:13" hidden="1">
      <c r="B471" s="3" t="s">
        <v>103</v>
      </c>
      <c r="C471" s="60" t="s">
        <v>562</v>
      </c>
      <c r="D471" s="3" t="s">
        <v>41</v>
      </c>
      <c r="E471" s="3" t="s">
        <v>23</v>
      </c>
      <c r="G471">
        <v>1</v>
      </c>
      <c r="H471" s="3">
        <v>0.5</v>
      </c>
      <c r="I471" s="6"/>
      <c r="J471" s="4">
        <v>46248</v>
      </c>
      <c r="K471" s="17"/>
      <c r="L471" s="3"/>
      <c r="M471" t="s">
        <v>389</v>
      </c>
    </row>
    <row r="472" spans="2:13" hidden="1">
      <c r="B472" s="3" t="s">
        <v>103</v>
      </c>
      <c r="C472" t="s">
        <v>723</v>
      </c>
      <c r="D472" s="3" t="s">
        <v>41</v>
      </c>
      <c r="E472" s="3" t="s">
        <v>23</v>
      </c>
      <c r="G472">
        <v>1</v>
      </c>
      <c r="H472" s="3">
        <v>3</v>
      </c>
      <c r="I472" s="6"/>
      <c r="J472" s="4">
        <v>46248</v>
      </c>
      <c r="K472" s="69"/>
      <c r="L472" s="3"/>
      <c r="M472" t="s">
        <v>389</v>
      </c>
    </row>
    <row r="473" spans="2:13" hidden="1">
      <c r="B473" s="14"/>
      <c r="D473" s="14"/>
      <c r="E473" s="14"/>
      <c r="H473" s="14"/>
      <c r="I473" s="16"/>
      <c r="J473" s="17"/>
      <c r="K473" s="69"/>
      <c r="L473" s="14"/>
    </row>
    <row r="474" spans="2:13" hidden="1">
      <c r="B474" s="3" t="s">
        <v>349</v>
      </c>
      <c r="C474" t="s">
        <v>724</v>
      </c>
      <c r="D474" s="3" t="s">
        <v>41</v>
      </c>
      <c r="E474" s="3" t="s">
        <v>23</v>
      </c>
      <c r="G474">
        <v>1</v>
      </c>
      <c r="H474" s="3">
        <v>1</v>
      </c>
      <c r="I474" s="6"/>
      <c r="J474" s="4">
        <v>46248</v>
      </c>
      <c r="K474" s="17"/>
      <c r="L474" s="3"/>
      <c r="M474" t="s">
        <v>389</v>
      </c>
    </row>
    <row r="475" spans="2:13" hidden="1">
      <c r="B475" s="3" t="s">
        <v>349</v>
      </c>
      <c r="C475" t="s">
        <v>725</v>
      </c>
      <c r="D475" s="3" t="s">
        <v>41</v>
      </c>
      <c r="E475" s="3" t="s">
        <v>23</v>
      </c>
      <c r="G475">
        <v>1</v>
      </c>
      <c r="H475" s="3">
        <v>0.5</v>
      </c>
      <c r="I475" s="6"/>
      <c r="J475" s="4">
        <v>46248</v>
      </c>
      <c r="K475" s="31"/>
      <c r="L475" s="3"/>
      <c r="M475" t="s">
        <v>389</v>
      </c>
    </row>
    <row r="476" spans="2:13" hidden="1">
      <c r="B476" s="3" t="s">
        <v>349</v>
      </c>
      <c r="C476" t="s">
        <v>726</v>
      </c>
      <c r="D476" s="3" t="s">
        <v>41</v>
      </c>
      <c r="E476" s="3" t="s">
        <v>23</v>
      </c>
      <c r="G476">
        <v>1</v>
      </c>
      <c r="H476" s="3">
        <v>1</v>
      </c>
      <c r="I476" s="6"/>
      <c r="J476" s="4">
        <v>46248</v>
      </c>
      <c r="K476" s="69"/>
      <c r="L476" s="3"/>
      <c r="M476" t="s">
        <v>389</v>
      </c>
    </row>
    <row r="477" spans="2:13" hidden="1">
      <c r="B477" s="14" t="s">
        <v>349</v>
      </c>
      <c r="C477" t="s">
        <v>727</v>
      </c>
      <c r="D477" s="14" t="s">
        <v>41</v>
      </c>
      <c r="E477" s="14" t="s">
        <v>23</v>
      </c>
      <c r="G477">
        <v>1</v>
      </c>
      <c r="H477" s="14">
        <v>1</v>
      </c>
      <c r="I477" s="16"/>
      <c r="J477" s="17">
        <v>46248</v>
      </c>
      <c r="K477" s="69"/>
      <c r="L477" s="14"/>
      <c r="M477" t="s">
        <v>389</v>
      </c>
    </row>
    <row r="478" spans="2:13" hidden="1">
      <c r="B478" s="14" t="s">
        <v>278</v>
      </c>
      <c r="C478" t="s">
        <v>647</v>
      </c>
      <c r="D478" s="14" t="s">
        <v>41</v>
      </c>
      <c r="E478" s="14" t="s">
        <v>23</v>
      </c>
      <c r="G478">
        <v>1</v>
      </c>
      <c r="H478" s="14">
        <v>2</v>
      </c>
      <c r="I478" s="16"/>
      <c r="J478" s="17">
        <v>46248</v>
      </c>
      <c r="K478" s="17"/>
      <c r="L478" s="14"/>
      <c r="M478" t="s">
        <v>454</v>
      </c>
    </row>
    <row r="479" spans="2:13">
      <c r="B479" s="14" t="s">
        <v>12</v>
      </c>
      <c r="C479" t="s">
        <v>728</v>
      </c>
      <c r="D479" s="14" t="s">
        <v>22</v>
      </c>
      <c r="E479" s="14" t="s">
        <v>453</v>
      </c>
      <c r="F479" t="s">
        <v>681</v>
      </c>
      <c r="G479">
        <v>1</v>
      </c>
      <c r="H479" s="14">
        <v>1.5</v>
      </c>
      <c r="I479" s="16"/>
      <c r="J479" s="17">
        <v>46251</v>
      </c>
      <c r="K479" s="53">
        <v>1.5</v>
      </c>
      <c r="L479" s="14" t="s">
        <v>716</v>
      </c>
      <c r="M479" t="s">
        <v>389</v>
      </c>
    </row>
    <row r="480" spans="2:13">
      <c r="B480" s="14" t="s">
        <v>12</v>
      </c>
      <c r="C480" t="s">
        <v>729</v>
      </c>
      <c r="D480" s="14" t="s">
        <v>22</v>
      </c>
      <c r="E480" s="14" t="s">
        <v>453</v>
      </c>
      <c r="F480" t="s">
        <v>681</v>
      </c>
      <c r="G480">
        <v>1</v>
      </c>
      <c r="H480" s="14">
        <v>2</v>
      </c>
      <c r="I480" s="16"/>
      <c r="J480" s="17">
        <v>46251</v>
      </c>
      <c r="K480" s="53">
        <v>2</v>
      </c>
      <c r="L480" s="14" t="s">
        <v>730</v>
      </c>
      <c r="M480" t="s">
        <v>389</v>
      </c>
    </row>
    <row r="481" spans="2:13">
      <c r="B481" s="14" t="s">
        <v>12</v>
      </c>
      <c r="C481" t="s">
        <v>731</v>
      </c>
      <c r="D481" s="14" t="s">
        <v>22</v>
      </c>
      <c r="E481" s="14" t="s">
        <v>453</v>
      </c>
      <c r="F481" t="s">
        <v>681</v>
      </c>
      <c r="G481">
        <v>1</v>
      </c>
      <c r="H481" s="14">
        <v>2</v>
      </c>
      <c r="I481" s="16"/>
      <c r="J481" s="17">
        <v>46251</v>
      </c>
      <c r="K481" s="53">
        <v>2</v>
      </c>
      <c r="L481" s="14" t="s">
        <v>730</v>
      </c>
      <c r="M481" t="s">
        <v>389</v>
      </c>
    </row>
    <row r="482" spans="2:13">
      <c r="B482" s="14" t="s">
        <v>12</v>
      </c>
      <c r="C482" t="s">
        <v>732</v>
      </c>
      <c r="D482" s="14" t="s">
        <v>22</v>
      </c>
      <c r="E482" s="14" t="s">
        <v>408</v>
      </c>
      <c r="F482" t="s">
        <v>636</v>
      </c>
      <c r="G482">
        <v>1</v>
      </c>
      <c r="H482" s="14">
        <v>2</v>
      </c>
      <c r="I482" s="16"/>
      <c r="J482" s="17">
        <v>46251</v>
      </c>
      <c r="K482" s="53">
        <v>2</v>
      </c>
      <c r="L482" s="14" t="s">
        <v>733</v>
      </c>
      <c r="M482" t="s">
        <v>389</v>
      </c>
    </row>
    <row r="483" spans="2:13" hidden="1">
      <c r="B483" s="14" t="s">
        <v>58</v>
      </c>
      <c r="C483" t="s">
        <v>734</v>
      </c>
      <c r="D483" s="14" t="s">
        <v>22</v>
      </c>
      <c r="E483" s="14" t="s">
        <v>408</v>
      </c>
      <c r="F483" t="s">
        <v>636</v>
      </c>
      <c r="G483">
        <v>1</v>
      </c>
      <c r="H483" s="14">
        <v>2</v>
      </c>
      <c r="I483" s="16"/>
      <c r="J483" s="17">
        <v>46251</v>
      </c>
      <c r="K483" s="53"/>
      <c r="L483" s="14"/>
      <c r="M483" t="s">
        <v>467</v>
      </c>
    </row>
    <row r="484" spans="2:13" hidden="1">
      <c r="B484" s="14" t="s">
        <v>306</v>
      </c>
      <c r="C484" t="s">
        <v>735</v>
      </c>
      <c r="D484" s="14" t="s">
        <v>22</v>
      </c>
      <c r="E484" s="14" t="s">
        <v>408</v>
      </c>
      <c r="F484" t="s">
        <v>688</v>
      </c>
      <c r="G484">
        <v>1</v>
      </c>
      <c r="H484" s="14">
        <v>9</v>
      </c>
      <c r="I484" s="16"/>
      <c r="J484" s="17">
        <v>46251</v>
      </c>
      <c r="K484" s="53"/>
      <c r="L484" s="14"/>
      <c r="M484" t="s">
        <v>467</v>
      </c>
    </row>
    <row r="485" spans="2:13">
      <c r="B485" s="14" t="s">
        <v>39</v>
      </c>
      <c r="C485" t="s">
        <v>736</v>
      </c>
      <c r="D485" s="14" t="s">
        <v>22</v>
      </c>
      <c r="E485" s="14" t="s">
        <v>453</v>
      </c>
      <c r="F485" t="s">
        <v>695</v>
      </c>
      <c r="G485">
        <v>1</v>
      </c>
      <c r="H485" s="14">
        <v>9</v>
      </c>
      <c r="I485" s="16"/>
      <c r="J485" s="17">
        <v>46251</v>
      </c>
      <c r="K485" s="53">
        <v>9</v>
      </c>
      <c r="L485" s="14" t="s">
        <v>737</v>
      </c>
      <c r="M485" t="s">
        <v>389</v>
      </c>
    </row>
    <row r="486" spans="2:13" hidden="1">
      <c r="B486" s="14" t="s">
        <v>58</v>
      </c>
      <c r="C486" t="s">
        <v>738</v>
      </c>
      <c r="D486" s="14" t="s">
        <v>22</v>
      </c>
      <c r="E486" s="14" t="s">
        <v>23</v>
      </c>
      <c r="F486" t="s">
        <v>658</v>
      </c>
      <c r="G486">
        <v>1</v>
      </c>
      <c r="H486" s="14">
        <v>0.5</v>
      </c>
      <c r="I486" s="16"/>
      <c r="J486" s="17">
        <v>46248</v>
      </c>
      <c r="K486" s="17"/>
      <c r="L486" s="14" t="s">
        <v>739</v>
      </c>
      <c r="M486" t="s">
        <v>389</v>
      </c>
    </row>
    <row r="487" spans="2:13" hidden="1">
      <c r="B487" s="14" t="s">
        <v>306</v>
      </c>
      <c r="C487" t="s">
        <v>738</v>
      </c>
      <c r="D487" s="14" t="s">
        <v>22</v>
      </c>
      <c r="E487" s="14" t="s">
        <v>23</v>
      </c>
      <c r="F487" t="s">
        <v>658</v>
      </c>
      <c r="G487">
        <v>1</v>
      </c>
      <c r="H487" s="14">
        <v>0.5</v>
      </c>
      <c r="I487" s="16"/>
      <c r="J487" s="17">
        <v>46248</v>
      </c>
      <c r="K487" s="17"/>
      <c r="L487" s="14" t="s">
        <v>739</v>
      </c>
      <c r="M487" t="s">
        <v>389</v>
      </c>
    </row>
    <row r="488" spans="2:13">
      <c r="B488" s="14" t="s">
        <v>12</v>
      </c>
      <c r="C488" t="s">
        <v>740</v>
      </c>
      <c r="D488" s="14" t="s">
        <v>41</v>
      </c>
      <c r="E488" s="14" t="s">
        <v>453</v>
      </c>
      <c r="F488" t="s">
        <v>618</v>
      </c>
      <c r="G488">
        <v>1</v>
      </c>
      <c r="H488" s="14">
        <v>1</v>
      </c>
      <c r="I488" s="16"/>
      <c r="J488" s="17">
        <v>46251</v>
      </c>
      <c r="K488" s="53">
        <v>1</v>
      </c>
      <c r="L488" s="14" t="s">
        <v>741</v>
      </c>
      <c r="M488" t="s">
        <v>389</v>
      </c>
    </row>
    <row r="489" spans="2:13" hidden="1">
      <c r="B489" s="14" t="s">
        <v>12</v>
      </c>
      <c r="C489" t="s">
        <v>742</v>
      </c>
      <c r="D489" s="14" t="s">
        <v>41</v>
      </c>
      <c r="E489" s="14" t="s">
        <v>453</v>
      </c>
      <c r="F489" t="s">
        <v>618</v>
      </c>
      <c r="G489">
        <v>1</v>
      </c>
      <c r="H489" s="14">
        <v>5</v>
      </c>
      <c r="I489" s="16"/>
      <c r="J489" s="17">
        <v>46251</v>
      </c>
      <c r="K489" s="53"/>
      <c r="L489" s="14"/>
      <c r="M489" t="s">
        <v>467</v>
      </c>
    </row>
    <row r="490" spans="2:13">
      <c r="B490" s="14" t="s">
        <v>743</v>
      </c>
      <c r="C490" t="s">
        <v>744</v>
      </c>
      <c r="D490" s="14" t="s">
        <v>22</v>
      </c>
      <c r="E490" s="14" t="s">
        <v>453</v>
      </c>
      <c r="F490" t="s">
        <v>636</v>
      </c>
      <c r="G490">
        <v>1</v>
      </c>
      <c r="H490" s="14">
        <v>2</v>
      </c>
      <c r="I490" s="16"/>
      <c r="J490" s="17">
        <v>46251</v>
      </c>
      <c r="K490" s="53">
        <v>2</v>
      </c>
      <c r="L490" s="14" t="s">
        <v>745</v>
      </c>
      <c r="M490" t="s">
        <v>382</v>
      </c>
    </row>
    <row r="491" spans="2:13">
      <c r="B491" s="14" t="s">
        <v>58</v>
      </c>
      <c r="C491" t="s">
        <v>746</v>
      </c>
      <c r="D491" s="14" t="s">
        <v>22</v>
      </c>
      <c r="E491" s="14" t="s">
        <v>453</v>
      </c>
      <c r="F491" t="s">
        <v>636</v>
      </c>
      <c r="G491">
        <v>1</v>
      </c>
      <c r="H491" s="14">
        <v>3</v>
      </c>
      <c r="I491" s="16"/>
      <c r="J491" s="17">
        <v>46251</v>
      </c>
      <c r="K491" s="53">
        <v>3</v>
      </c>
      <c r="L491" s="14" t="s">
        <v>747</v>
      </c>
      <c r="M491" t="s">
        <v>389</v>
      </c>
    </row>
    <row r="492" spans="2:13">
      <c r="B492" s="14" t="s">
        <v>12</v>
      </c>
      <c r="C492" t="s">
        <v>748</v>
      </c>
      <c r="D492" s="14" t="s">
        <v>41</v>
      </c>
      <c r="E492" s="14" t="s">
        <v>453</v>
      </c>
      <c r="F492" t="s">
        <v>681</v>
      </c>
      <c r="G492">
        <v>1</v>
      </c>
      <c r="H492" s="14">
        <v>0.5</v>
      </c>
      <c r="I492" s="16"/>
      <c r="J492" s="17">
        <v>46251</v>
      </c>
      <c r="K492" s="53">
        <v>0.5</v>
      </c>
      <c r="L492" s="14" t="s">
        <v>749</v>
      </c>
      <c r="M492" t="s">
        <v>389</v>
      </c>
    </row>
    <row r="493" spans="2:13" hidden="1">
      <c r="B493" s="14" t="s">
        <v>92</v>
      </c>
      <c r="C493" t="s">
        <v>750</v>
      </c>
      <c r="D493" s="14" t="s">
        <v>41</v>
      </c>
      <c r="E493" s="14" t="s">
        <v>453</v>
      </c>
      <c r="F493" t="s">
        <v>618</v>
      </c>
      <c r="G493">
        <v>1</v>
      </c>
      <c r="H493" s="14">
        <v>3</v>
      </c>
      <c r="I493" s="16"/>
      <c r="J493" s="17">
        <v>46251</v>
      </c>
      <c r="K493" s="17"/>
      <c r="L493" s="14" t="s">
        <v>751</v>
      </c>
      <c r="M493" t="s">
        <v>467</v>
      </c>
    </row>
    <row r="494" spans="2:13">
      <c r="B494" s="14" t="s">
        <v>12</v>
      </c>
      <c r="C494" t="s">
        <v>752</v>
      </c>
      <c r="D494" s="14" t="s">
        <v>41</v>
      </c>
      <c r="E494" s="14" t="s">
        <v>453</v>
      </c>
      <c r="F494" t="s">
        <v>753</v>
      </c>
      <c r="G494">
        <v>2</v>
      </c>
      <c r="H494" s="14">
        <v>9</v>
      </c>
      <c r="I494" s="16"/>
      <c r="J494" s="17">
        <v>46258</v>
      </c>
      <c r="K494" s="53">
        <v>4</v>
      </c>
      <c r="L494" s="14" t="s">
        <v>754</v>
      </c>
      <c r="M494" t="s">
        <v>389</v>
      </c>
    </row>
    <row r="495" spans="2:13" hidden="1">
      <c r="B495" s="14" t="s">
        <v>755</v>
      </c>
      <c r="C495" t="s">
        <v>756</v>
      </c>
      <c r="D495" s="14" t="s">
        <v>41</v>
      </c>
      <c r="E495" s="14" t="s">
        <v>23</v>
      </c>
      <c r="H495" s="14"/>
      <c r="I495" s="16"/>
      <c r="J495" s="17"/>
      <c r="K495" s="17"/>
      <c r="L495" s="14"/>
    </row>
    <row r="496" spans="2:13">
      <c r="B496" s="14" t="s">
        <v>12</v>
      </c>
      <c r="C496" t="s">
        <v>757</v>
      </c>
      <c r="D496" s="14" t="s">
        <v>41</v>
      </c>
      <c r="E496" s="14" t="s">
        <v>453</v>
      </c>
      <c r="F496" t="s">
        <v>618</v>
      </c>
      <c r="G496">
        <v>1</v>
      </c>
      <c r="H496" s="14">
        <v>1</v>
      </c>
      <c r="I496" s="16"/>
      <c r="J496" s="17">
        <v>46258</v>
      </c>
      <c r="K496" s="53">
        <v>1</v>
      </c>
      <c r="L496" s="14" t="s">
        <v>758</v>
      </c>
      <c r="M496" t="s">
        <v>389</v>
      </c>
    </row>
    <row r="497" spans="2:13" hidden="1">
      <c r="B497" s="14" t="s">
        <v>306</v>
      </c>
      <c r="C497" s="65" t="s">
        <v>759</v>
      </c>
      <c r="D497" s="14" t="s">
        <v>22</v>
      </c>
      <c r="E497" s="14" t="s">
        <v>453</v>
      </c>
      <c r="F497" s="65" t="s">
        <v>760</v>
      </c>
      <c r="G497">
        <v>2</v>
      </c>
      <c r="H497" s="14">
        <v>9</v>
      </c>
      <c r="I497" s="16"/>
      <c r="J497" s="17">
        <v>46258</v>
      </c>
      <c r="K497" s="53"/>
      <c r="L497" s="14" t="s">
        <v>761</v>
      </c>
      <c r="M497" t="s">
        <v>467</v>
      </c>
    </row>
    <row r="498" spans="2:13">
      <c r="B498" s="14" t="s">
        <v>103</v>
      </c>
      <c r="C498" t="s">
        <v>762</v>
      </c>
      <c r="D498" s="14" t="s">
        <v>22</v>
      </c>
      <c r="E498" s="14" t="s">
        <v>453</v>
      </c>
      <c r="F498" t="s">
        <v>681</v>
      </c>
      <c r="G498">
        <v>1</v>
      </c>
      <c r="H498" s="14">
        <v>5</v>
      </c>
      <c r="I498" s="16"/>
      <c r="J498" s="17">
        <v>46258</v>
      </c>
      <c r="K498" s="53">
        <v>4</v>
      </c>
      <c r="L498" s="14" t="s">
        <v>763</v>
      </c>
      <c r="M498" t="s">
        <v>389</v>
      </c>
    </row>
    <row r="499" spans="2:13" hidden="1">
      <c r="B499" s="14" t="s">
        <v>411</v>
      </c>
      <c r="C499" t="s">
        <v>764</v>
      </c>
      <c r="D499" s="14" t="s">
        <v>22</v>
      </c>
      <c r="E499" s="14" t="s">
        <v>453</v>
      </c>
      <c r="F499" t="s">
        <v>681</v>
      </c>
      <c r="G499">
        <v>1</v>
      </c>
      <c r="H499" s="14">
        <v>2.5</v>
      </c>
      <c r="I499" s="16"/>
      <c r="J499" s="17">
        <v>46258</v>
      </c>
      <c r="K499" s="53"/>
      <c r="L499" s="14" t="s">
        <v>761</v>
      </c>
      <c r="M499" t="s">
        <v>467</v>
      </c>
    </row>
    <row r="500" spans="2:13" hidden="1">
      <c r="B500" s="14" t="s">
        <v>278</v>
      </c>
      <c r="C500" t="s">
        <v>765</v>
      </c>
      <c r="D500" s="14" t="s">
        <v>41</v>
      </c>
      <c r="E500" s="14" t="s">
        <v>453</v>
      </c>
      <c r="F500" t="s">
        <v>618</v>
      </c>
      <c r="G500">
        <v>1</v>
      </c>
      <c r="H500" s="14">
        <v>2.5</v>
      </c>
      <c r="I500" s="16"/>
      <c r="J500" s="17">
        <v>46258</v>
      </c>
      <c r="K500" s="53"/>
      <c r="L500" s="14"/>
      <c r="M500" t="s">
        <v>454</v>
      </c>
    </row>
    <row r="501" spans="2:13">
      <c r="B501" s="14" t="s">
        <v>58</v>
      </c>
      <c r="C501" t="s">
        <v>766</v>
      </c>
      <c r="D501" s="14" t="s">
        <v>41</v>
      </c>
      <c r="E501" s="14" t="s">
        <v>453</v>
      </c>
      <c r="F501" t="s">
        <v>618</v>
      </c>
      <c r="G501">
        <v>1</v>
      </c>
      <c r="H501" s="14">
        <v>2.5</v>
      </c>
      <c r="I501" s="16"/>
      <c r="J501" s="17">
        <v>46258</v>
      </c>
      <c r="K501" s="53">
        <v>2</v>
      </c>
      <c r="L501" s="14" t="s">
        <v>767</v>
      </c>
      <c r="M501" t="s">
        <v>389</v>
      </c>
    </row>
    <row r="502" spans="2:13">
      <c r="B502" s="14" t="s">
        <v>306</v>
      </c>
      <c r="C502" t="s">
        <v>768</v>
      </c>
      <c r="D502" s="14" t="s">
        <v>41</v>
      </c>
      <c r="E502" s="14" t="s">
        <v>453</v>
      </c>
      <c r="F502" t="s">
        <v>618</v>
      </c>
      <c r="G502">
        <v>1</v>
      </c>
      <c r="H502" s="14">
        <v>2.5</v>
      </c>
      <c r="I502" s="16"/>
      <c r="J502" s="17">
        <v>46258</v>
      </c>
      <c r="K502" s="53">
        <v>2</v>
      </c>
      <c r="L502" s="14" t="s">
        <v>767</v>
      </c>
      <c r="M502" t="s">
        <v>389</v>
      </c>
    </row>
    <row r="503" spans="2:13">
      <c r="B503" s="14" t="s">
        <v>769</v>
      </c>
      <c r="C503" t="s">
        <v>770</v>
      </c>
      <c r="D503" s="14" t="s">
        <v>41</v>
      </c>
      <c r="E503" s="14" t="s">
        <v>453</v>
      </c>
      <c r="F503" t="s">
        <v>681</v>
      </c>
      <c r="G503">
        <v>1</v>
      </c>
      <c r="H503" s="14">
        <v>1.5</v>
      </c>
      <c r="I503" s="16"/>
      <c r="J503" s="17">
        <v>46258</v>
      </c>
      <c r="K503" s="53">
        <v>1</v>
      </c>
      <c r="L503" s="14" t="s">
        <v>771</v>
      </c>
      <c r="M503" t="s">
        <v>389</v>
      </c>
    </row>
    <row r="504" spans="2:13">
      <c r="B504" s="14" t="s">
        <v>772</v>
      </c>
      <c r="C504" t="s">
        <v>773</v>
      </c>
      <c r="D504" s="14" t="s">
        <v>41</v>
      </c>
      <c r="E504" s="14" t="s">
        <v>125</v>
      </c>
      <c r="F504" t="s">
        <v>620</v>
      </c>
      <c r="G504">
        <v>1</v>
      </c>
      <c r="H504" s="14">
        <v>2.5</v>
      </c>
      <c r="I504" s="16"/>
      <c r="J504" s="17">
        <v>46258</v>
      </c>
      <c r="K504" s="53">
        <v>1</v>
      </c>
      <c r="L504" s="14" t="s">
        <v>774</v>
      </c>
      <c r="M504" t="s">
        <v>389</v>
      </c>
    </row>
    <row r="505" spans="2:13">
      <c r="B505" s="14" t="s">
        <v>403</v>
      </c>
      <c r="C505" t="s">
        <v>775</v>
      </c>
      <c r="D505" s="14" t="s">
        <v>41</v>
      </c>
      <c r="E505" s="14" t="s">
        <v>125</v>
      </c>
      <c r="F505" t="s">
        <v>620</v>
      </c>
      <c r="G505">
        <v>1</v>
      </c>
      <c r="H505" s="14">
        <v>2.5</v>
      </c>
      <c r="I505" s="16"/>
      <c r="J505" s="17">
        <v>46258</v>
      </c>
      <c r="K505" s="53">
        <v>1</v>
      </c>
      <c r="L505" s="14" t="s">
        <v>776</v>
      </c>
      <c r="M505" t="s">
        <v>389</v>
      </c>
    </row>
    <row r="506" spans="2:13">
      <c r="B506" s="14" t="s">
        <v>278</v>
      </c>
      <c r="C506" t="s">
        <v>777</v>
      </c>
      <c r="D506" s="14" t="s">
        <v>41</v>
      </c>
      <c r="E506" s="14" t="s">
        <v>125</v>
      </c>
      <c r="F506" t="s">
        <v>620</v>
      </c>
      <c r="G506">
        <v>1</v>
      </c>
      <c r="H506" s="14">
        <v>2.5</v>
      </c>
      <c r="I506" s="16"/>
      <c r="J506" s="17">
        <v>46258</v>
      </c>
      <c r="K506" s="53">
        <v>1</v>
      </c>
      <c r="L506" s="14" t="s">
        <v>778</v>
      </c>
      <c r="M506" t="s">
        <v>389</v>
      </c>
    </row>
    <row r="507" spans="2:13">
      <c r="B507" s="14" t="s">
        <v>779</v>
      </c>
      <c r="C507" t="s">
        <v>780</v>
      </c>
      <c r="D507" s="14" t="s">
        <v>41</v>
      </c>
      <c r="E507" s="14" t="s">
        <v>125</v>
      </c>
      <c r="F507" t="s">
        <v>626</v>
      </c>
      <c r="G507">
        <v>1</v>
      </c>
      <c r="H507" s="14">
        <v>9</v>
      </c>
      <c r="I507" s="16"/>
      <c r="J507" s="17">
        <v>46258</v>
      </c>
      <c r="K507" s="53">
        <v>7.5</v>
      </c>
      <c r="L507" s="14" t="s">
        <v>778</v>
      </c>
      <c r="M507" t="s">
        <v>389</v>
      </c>
    </row>
    <row r="508" spans="2:13">
      <c r="B508" s="14" t="s">
        <v>58</v>
      </c>
      <c r="C508" t="s">
        <v>630</v>
      </c>
      <c r="D508" s="14" t="s">
        <v>41</v>
      </c>
      <c r="E508" s="14" t="s">
        <v>125</v>
      </c>
      <c r="F508" t="s">
        <v>705</v>
      </c>
      <c r="G508">
        <v>1</v>
      </c>
      <c r="H508" s="14">
        <v>2.5</v>
      </c>
      <c r="I508" s="16"/>
      <c r="J508" s="17">
        <v>46258</v>
      </c>
      <c r="K508" s="53">
        <v>1.5</v>
      </c>
      <c r="L508" s="14" t="s">
        <v>781</v>
      </c>
      <c r="M508" t="s">
        <v>389</v>
      </c>
    </row>
    <row r="509" spans="2:13">
      <c r="B509" s="14" t="s">
        <v>306</v>
      </c>
      <c r="C509" t="s">
        <v>782</v>
      </c>
      <c r="D509" s="14" t="s">
        <v>41</v>
      </c>
      <c r="E509" s="14" t="s">
        <v>125</v>
      </c>
      <c r="F509" t="s">
        <v>705</v>
      </c>
      <c r="G509">
        <v>1</v>
      </c>
      <c r="H509" s="14">
        <v>2.5</v>
      </c>
      <c r="I509" s="16"/>
      <c r="J509" s="17">
        <v>46258</v>
      </c>
      <c r="K509" s="53">
        <v>1.5</v>
      </c>
      <c r="L509" s="14" t="s">
        <v>781</v>
      </c>
      <c r="M509" t="s">
        <v>389</v>
      </c>
    </row>
    <row r="510" spans="2:13">
      <c r="B510" s="14" t="s">
        <v>12</v>
      </c>
      <c r="C510" t="s">
        <v>783</v>
      </c>
      <c r="D510" s="14" t="s">
        <v>41</v>
      </c>
      <c r="E510" s="14" t="s">
        <v>125</v>
      </c>
      <c r="F510" t="s">
        <v>705</v>
      </c>
      <c r="G510">
        <v>1</v>
      </c>
      <c r="H510" s="14">
        <v>2.5</v>
      </c>
      <c r="I510" s="16"/>
      <c r="J510" s="17">
        <v>46258</v>
      </c>
      <c r="K510" s="53">
        <v>1.5</v>
      </c>
      <c r="L510" s="14" t="s">
        <v>781</v>
      </c>
      <c r="M510" t="s">
        <v>389</v>
      </c>
    </row>
    <row r="511" spans="2:13">
      <c r="B511" s="14" t="s">
        <v>103</v>
      </c>
      <c r="C511" t="s">
        <v>784</v>
      </c>
      <c r="D511" s="14" t="s">
        <v>41</v>
      </c>
      <c r="E511" s="14" t="s">
        <v>125</v>
      </c>
      <c r="F511" t="s">
        <v>705</v>
      </c>
      <c r="G511">
        <v>1</v>
      </c>
      <c r="H511" s="14">
        <v>1.5</v>
      </c>
      <c r="I511" s="16"/>
      <c r="J511" s="17">
        <v>46258</v>
      </c>
      <c r="K511" s="53">
        <v>1</v>
      </c>
      <c r="L511" s="14" t="s">
        <v>778</v>
      </c>
      <c r="M511" t="s">
        <v>389</v>
      </c>
    </row>
    <row r="512" spans="2:13">
      <c r="B512" s="14" t="s">
        <v>785</v>
      </c>
      <c r="C512" t="s">
        <v>786</v>
      </c>
      <c r="D512" s="14" t="s">
        <v>41</v>
      </c>
      <c r="E512" s="14" t="s">
        <v>453</v>
      </c>
      <c r="F512" t="s">
        <v>760</v>
      </c>
      <c r="G512">
        <v>1</v>
      </c>
      <c r="H512" s="14">
        <v>9</v>
      </c>
      <c r="I512" s="16"/>
      <c r="J512" s="17">
        <v>46258</v>
      </c>
      <c r="K512" s="53">
        <v>9</v>
      </c>
      <c r="L512" s="14" t="s">
        <v>787</v>
      </c>
      <c r="M512" t="s">
        <v>389</v>
      </c>
    </row>
    <row r="513" spans="2:13">
      <c r="B513" s="3" t="s">
        <v>278</v>
      </c>
      <c r="C513" t="s">
        <v>765</v>
      </c>
      <c r="D513" s="3" t="s">
        <v>41</v>
      </c>
      <c r="E513" s="3" t="s">
        <v>453</v>
      </c>
      <c r="F513" t="s">
        <v>618</v>
      </c>
      <c r="G513">
        <v>1</v>
      </c>
      <c r="H513" s="3">
        <v>2.5</v>
      </c>
      <c r="I513" s="6"/>
      <c r="J513" s="4">
        <v>46266</v>
      </c>
      <c r="K513" s="17">
        <v>2</v>
      </c>
      <c r="L513" s="3" t="s">
        <v>788</v>
      </c>
      <c r="M513" t="s">
        <v>389</v>
      </c>
    </row>
    <row r="514" spans="2:13">
      <c r="B514" s="3" t="s">
        <v>278</v>
      </c>
      <c r="C514" t="s">
        <v>789</v>
      </c>
      <c r="D514" s="3" t="s">
        <v>41</v>
      </c>
      <c r="E514" s="3" t="s">
        <v>453</v>
      </c>
      <c r="F514" t="s">
        <v>618</v>
      </c>
      <c r="G514">
        <v>2</v>
      </c>
      <c r="H514" s="3">
        <v>5</v>
      </c>
      <c r="I514" s="6"/>
      <c r="J514" s="4">
        <v>46266</v>
      </c>
      <c r="K514" s="55">
        <v>4</v>
      </c>
      <c r="L514" s="3" t="s">
        <v>790</v>
      </c>
      <c r="M514" t="s">
        <v>389</v>
      </c>
    </row>
    <row r="515" spans="2:13" hidden="1">
      <c r="B515" s="3"/>
      <c r="D515" s="3"/>
      <c r="E515" s="3"/>
      <c r="H515" s="3"/>
      <c r="I515" s="6"/>
      <c r="J515" s="4"/>
      <c r="K515" s="69"/>
      <c r="L515" s="3"/>
    </row>
    <row r="516" spans="2:13" hidden="1">
      <c r="B516" s="3"/>
      <c r="D516" s="3"/>
      <c r="E516" s="3"/>
      <c r="H516" s="3"/>
      <c r="I516" s="6"/>
      <c r="J516" s="4"/>
      <c r="K516" s="69"/>
      <c r="L516" s="3"/>
    </row>
    <row r="517" spans="2:13" hidden="1">
      <c r="B517" s="3"/>
      <c r="D517" s="3"/>
      <c r="E517" s="3"/>
      <c r="H517" s="3"/>
      <c r="I517" s="6"/>
      <c r="J517" s="4"/>
      <c r="K517" s="69"/>
      <c r="L517" s="3"/>
    </row>
    <row r="518" spans="2:13" hidden="1">
      <c r="B518" s="3"/>
      <c r="D518" s="3"/>
      <c r="E518" s="3"/>
      <c r="H518" s="3"/>
      <c r="I518" s="6"/>
      <c r="J518" s="4"/>
      <c r="K518" s="69"/>
      <c r="L518" s="3"/>
    </row>
    <row r="519" spans="2:13" hidden="1">
      <c r="B519" s="3"/>
      <c r="D519" s="3"/>
      <c r="E519" s="3"/>
      <c r="H519" s="3"/>
      <c r="I519" s="6"/>
      <c r="J519" s="4"/>
      <c r="K519" s="69"/>
      <c r="L519" s="3"/>
    </row>
    <row r="520" spans="2:13" hidden="1">
      <c r="B520" s="3"/>
      <c r="D520" s="3"/>
      <c r="E520" s="3"/>
      <c r="H520" s="3"/>
      <c r="I520" s="6"/>
      <c r="J520" s="4"/>
      <c r="K520" s="69"/>
      <c r="L520" s="3"/>
    </row>
    <row r="521" spans="2:13" hidden="1">
      <c r="B521" s="3"/>
      <c r="D521" s="3"/>
      <c r="E521" s="3"/>
      <c r="H521" s="3"/>
      <c r="I521" s="6"/>
      <c r="J521" s="4"/>
      <c r="K521" s="69"/>
      <c r="L521" s="3"/>
    </row>
    <row r="522" spans="2:13" hidden="1">
      <c r="B522" s="14"/>
      <c r="D522" s="14"/>
      <c r="E522" s="14"/>
      <c r="H522" s="14"/>
      <c r="I522" s="16"/>
      <c r="J522" s="17"/>
      <c r="K522" s="69"/>
      <c r="L522" s="14"/>
    </row>
    <row r="523" spans="2:13" hidden="1">
      <c r="B523" s="14" t="s">
        <v>639</v>
      </c>
      <c r="C523" t="s">
        <v>791</v>
      </c>
      <c r="D523" s="14" t="s">
        <v>41</v>
      </c>
      <c r="E523" s="14" t="s">
        <v>125</v>
      </c>
      <c r="G523">
        <v>1</v>
      </c>
      <c r="H523" s="14"/>
      <c r="I523" s="16"/>
      <c r="J523" s="4">
        <v>46269</v>
      </c>
      <c r="K523" s="17"/>
      <c r="L523" s="14"/>
      <c r="M523" t="s">
        <v>454</v>
      </c>
    </row>
    <row r="524" spans="2:13">
      <c r="B524" s="14" t="s">
        <v>639</v>
      </c>
      <c r="C524" t="s">
        <v>792</v>
      </c>
      <c r="D524" s="14" t="s">
        <v>41</v>
      </c>
      <c r="E524" s="14" t="s">
        <v>453</v>
      </c>
      <c r="F524" t="s">
        <v>688</v>
      </c>
      <c r="G524">
        <v>1</v>
      </c>
      <c r="H524" s="14">
        <v>5</v>
      </c>
      <c r="I524" s="16"/>
      <c r="J524" s="4">
        <v>46266</v>
      </c>
      <c r="K524" s="17">
        <v>4</v>
      </c>
      <c r="L524" s="14" t="s">
        <v>793</v>
      </c>
      <c r="M524" t="s">
        <v>389</v>
      </c>
    </row>
    <row r="525" spans="2:13">
      <c r="B525" s="14" t="s">
        <v>58</v>
      </c>
      <c r="C525" t="s">
        <v>794</v>
      </c>
      <c r="D525" s="14" t="s">
        <v>41</v>
      </c>
      <c r="E525" s="14" t="s">
        <v>453</v>
      </c>
      <c r="F525" t="s">
        <v>688</v>
      </c>
      <c r="G525">
        <v>1</v>
      </c>
      <c r="H525" s="14">
        <v>2.5</v>
      </c>
      <c r="I525" s="16"/>
      <c r="J525" s="4">
        <v>46266</v>
      </c>
      <c r="K525" s="17">
        <v>1</v>
      </c>
      <c r="L525" s="14" t="s">
        <v>788</v>
      </c>
      <c r="M525" t="s">
        <v>389</v>
      </c>
    </row>
    <row r="526" spans="2:13" hidden="1">
      <c r="B526" s="14" t="s">
        <v>795</v>
      </c>
      <c r="C526" t="s">
        <v>796</v>
      </c>
      <c r="D526" s="14" t="s">
        <v>41</v>
      </c>
      <c r="E526" s="14" t="s">
        <v>453</v>
      </c>
      <c r="F526" t="s">
        <v>695</v>
      </c>
      <c r="G526">
        <v>1</v>
      </c>
      <c r="H526" s="14">
        <v>5</v>
      </c>
      <c r="I526" s="16"/>
      <c r="J526" s="4">
        <v>46266</v>
      </c>
      <c r="K526" s="17">
        <v>4</v>
      </c>
      <c r="L526" s="14"/>
      <c r="M526" t="s">
        <v>389</v>
      </c>
    </row>
    <row r="527" spans="2:13">
      <c r="B527" s="14" t="s">
        <v>306</v>
      </c>
      <c r="C527" t="s">
        <v>797</v>
      </c>
      <c r="D527" s="14" t="s">
        <v>41</v>
      </c>
      <c r="E527" s="14" t="s">
        <v>453</v>
      </c>
      <c r="F527" t="s">
        <v>695</v>
      </c>
      <c r="G527">
        <v>1</v>
      </c>
      <c r="H527" s="14">
        <v>0.5</v>
      </c>
      <c r="I527" s="16"/>
      <c r="J527" s="4">
        <v>46266</v>
      </c>
      <c r="K527" s="17">
        <v>3</v>
      </c>
      <c r="L527" s="14" t="s">
        <v>798</v>
      </c>
      <c r="M527" t="s">
        <v>389</v>
      </c>
    </row>
    <row r="528" spans="2:13" hidden="1">
      <c r="B528" s="14" t="s">
        <v>39</v>
      </c>
      <c r="C528" t="s">
        <v>799</v>
      </c>
      <c r="D528" s="14" t="s">
        <v>41</v>
      </c>
      <c r="E528" s="14" t="s">
        <v>453</v>
      </c>
      <c r="G528">
        <v>1</v>
      </c>
      <c r="H528" s="14">
        <v>2</v>
      </c>
      <c r="I528" s="16"/>
      <c r="J528" s="4">
        <v>46269</v>
      </c>
      <c r="K528" s="17"/>
      <c r="L528" s="14"/>
      <c r="M528" t="s">
        <v>454</v>
      </c>
    </row>
    <row r="529" spans="2:13">
      <c r="B529" s="14" t="s">
        <v>639</v>
      </c>
      <c r="C529" t="s">
        <v>800</v>
      </c>
      <c r="D529" s="14" t="s">
        <v>41</v>
      </c>
      <c r="E529" s="14" t="s">
        <v>125</v>
      </c>
      <c r="F529" t="s">
        <v>626</v>
      </c>
      <c r="G529">
        <v>1</v>
      </c>
      <c r="H529" s="14">
        <f>9-2</f>
        <v>7</v>
      </c>
      <c r="I529" s="16"/>
      <c r="J529" s="4">
        <v>46266</v>
      </c>
      <c r="K529" s="17">
        <v>1</v>
      </c>
      <c r="L529" s="14" t="s">
        <v>801</v>
      </c>
      <c r="M529" t="s">
        <v>389</v>
      </c>
    </row>
    <row r="530" spans="2:13" hidden="1">
      <c r="B530" s="14" t="s">
        <v>278</v>
      </c>
      <c r="C530" t="s">
        <v>802</v>
      </c>
      <c r="D530" s="14" t="s">
        <v>41</v>
      </c>
      <c r="E530" s="14" t="s">
        <v>125</v>
      </c>
      <c r="F530" s="65" t="s">
        <v>803</v>
      </c>
      <c r="G530">
        <v>1</v>
      </c>
      <c r="H530" s="14">
        <v>2</v>
      </c>
      <c r="I530" s="16"/>
      <c r="J530" s="4">
        <v>46266</v>
      </c>
      <c r="K530" s="53"/>
      <c r="L530" s="14"/>
      <c r="M530" t="s">
        <v>467</v>
      </c>
    </row>
    <row r="531" spans="2:13" hidden="1">
      <c r="B531" s="14" t="s">
        <v>804</v>
      </c>
      <c r="C531" t="s">
        <v>802</v>
      </c>
      <c r="D531" s="14" t="s">
        <v>41</v>
      </c>
      <c r="E531" s="14" t="s">
        <v>125</v>
      </c>
      <c r="F531" s="65" t="s">
        <v>803</v>
      </c>
      <c r="G531">
        <v>1</v>
      </c>
      <c r="H531" s="14">
        <v>2</v>
      </c>
      <c r="I531" s="16"/>
      <c r="J531" s="4">
        <v>46266</v>
      </c>
      <c r="K531" s="53"/>
      <c r="L531" s="14"/>
      <c r="M531" t="s">
        <v>467</v>
      </c>
    </row>
    <row r="532" spans="2:13" hidden="1">
      <c r="B532" s="14" t="s">
        <v>306</v>
      </c>
      <c r="C532" t="s">
        <v>802</v>
      </c>
      <c r="D532" s="14" t="s">
        <v>41</v>
      </c>
      <c r="E532" s="14" t="s">
        <v>125</v>
      </c>
      <c r="F532" s="65" t="s">
        <v>803</v>
      </c>
      <c r="G532">
        <v>1</v>
      </c>
      <c r="H532" s="14">
        <v>2</v>
      </c>
      <c r="I532" s="16"/>
      <c r="J532" s="4">
        <v>46266</v>
      </c>
      <c r="K532" s="53"/>
      <c r="L532" s="14"/>
      <c r="M532" t="s">
        <v>467</v>
      </c>
    </row>
    <row r="533" spans="2:13" hidden="1">
      <c r="B533" s="14" t="s">
        <v>58</v>
      </c>
      <c r="C533" t="s">
        <v>802</v>
      </c>
      <c r="D533" s="14" t="s">
        <v>41</v>
      </c>
      <c r="E533" s="14" t="s">
        <v>125</v>
      </c>
      <c r="F533" s="65" t="s">
        <v>803</v>
      </c>
      <c r="G533">
        <v>1</v>
      </c>
      <c r="H533" s="14">
        <v>2</v>
      </c>
      <c r="I533" s="16"/>
      <c r="J533" s="4">
        <v>46266</v>
      </c>
      <c r="K533" s="53"/>
      <c r="L533" s="14"/>
      <c r="M533" t="s">
        <v>467</v>
      </c>
    </row>
    <row r="534" spans="2:13">
      <c r="B534" s="14" t="s">
        <v>12</v>
      </c>
      <c r="C534" t="s">
        <v>805</v>
      </c>
      <c r="D534" s="14" t="s">
        <v>22</v>
      </c>
      <c r="E534" s="14" t="s">
        <v>453</v>
      </c>
      <c r="F534" t="s">
        <v>806</v>
      </c>
      <c r="G534">
        <v>2</v>
      </c>
      <c r="H534" s="14">
        <v>8</v>
      </c>
      <c r="I534" s="16"/>
      <c r="J534" s="58">
        <v>46265</v>
      </c>
      <c r="K534" s="53">
        <v>5</v>
      </c>
      <c r="L534" s="14" t="s">
        <v>807</v>
      </c>
      <c r="M534" t="s">
        <v>389</v>
      </c>
    </row>
    <row r="535" spans="2:13">
      <c r="B535" s="14" t="s">
        <v>48</v>
      </c>
      <c r="C535" t="s">
        <v>808</v>
      </c>
      <c r="D535" s="14" t="s">
        <v>41</v>
      </c>
      <c r="E535" s="14" t="s">
        <v>125</v>
      </c>
      <c r="F535" t="s">
        <v>626</v>
      </c>
      <c r="G535">
        <v>1</v>
      </c>
      <c r="H535" s="14">
        <v>2</v>
      </c>
      <c r="I535" s="16"/>
      <c r="J535" s="58">
        <v>46265</v>
      </c>
      <c r="K535" s="53">
        <v>3</v>
      </c>
      <c r="L535" s="14" t="s">
        <v>809</v>
      </c>
      <c r="M535" t="s">
        <v>389</v>
      </c>
    </row>
    <row r="536" spans="2:13">
      <c r="B536" s="14" t="s">
        <v>92</v>
      </c>
      <c r="C536" t="s">
        <v>810</v>
      </c>
      <c r="D536" s="14" t="s">
        <v>41</v>
      </c>
      <c r="E536" s="14" t="s">
        <v>125</v>
      </c>
      <c r="F536" t="s">
        <v>705</v>
      </c>
      <c r="G536">
        <v>1</v>
      </c>
      <c r="H536" s="14">
        <v>2</v>
      </c>
      <c r="I536" s="16"/>
      <c r="J536" s="58">
        <v>46265</v>
      </c>
      <c r="K536" s="53">
        <v>2</v>
      </c>
      <c r="L536" s="14" t="s">
        <v>809</v>
      </c>
      <c r="M536" t="s">
        <v>389</v>
      </c>
    </row>
    <row r="537" spans="2:13">
      <c r="B537" s="14" t="s">
        <v>92</v>
      </c>
      <c r="C537" t="s">
        <v>811</v>
      </c>
      <c r="D537" s="14" t="s">
        <v>41</v>
      </c>
      <c r="E537" s="14" t="s">
        <v>125</v>
      </c>
      <c r="F537" t="s">
        <v>705</v>
      </c>
      <c r="G537">
        <v>1</v>
      </c>
      <c r="H537" s="14">
        <v>5</v>
      </c>
      <c r="I537" s="16"/>
      <c r="J537" s="58">
        <v>46265</v>
      </c>
      <c r="K537" s="53">
        <v>2</v>
      </c>
      <c r="L537" s="14" t="s">
        <v>809</v>
      </c>
      <c r="M537" t="s">
        <v>389</v>
      </c>
    </row>
    <row r="538" spans="2:13">
      <c r="B538" s="14" t="s">
        <v>570</v>
      </c>
      <c r="C538" t="s">
        <v>812</v>
      </c>
      <c r="D538" s="14" t="s">
        <v>22</v>
      </c>
      <c r="E538" s="14" t="s">
        <v>125</v>
      </c>
      <c r="F538" t="s">
        <v>705</v>
      </c>
      <c r="G538">
        <v>1</v>
      </c>
      <c r="H538" s="14">
        <v>0.5</v>
      </c>
      <c r="I538" s="16"/>
      <c r="J538" s="58">
        <v>46265</v>
      </c>
      <c r="K538" s="17">
        <v>1</v>
      </c>
      <c r="L538" s="14" t="s">
        <v>813</v>
      </c>
      <c r="M538" t="s">
        <v>389</v>
      </c>
    </row>
    <row r="539" spans="2:13" hidden="1">
      <c r="B539" s="14" t="s">
        <v>639</v>
      </c>
      <c r="C539" t="s">
        <v>814</v>
      </c>
      <c r="D539" s="14" t="s">
        <v>41</v>
      </c>
      <c r="E539" s="14" t="s">
        <v>125</v>
      </c>
      <c r="F539" t="s">
        <v>626</v>
      </c>
      <c r="G539">
        <v>1</v>
      </c>
      <c r="H539" s="14">
        <v>7</v>
      </c>
      <c r="I539" s="16"/>
      <c r="J539" s="58">
        <v>46265</v>
      </c>
      <c r="K539" s="17">
        <v>3</v>
      </c>
      <c r="L539" s="14"/>
      <c r="M539" t="s">
        <v>389</v>
      </c>
    </row>
    <row r="540" spans="2:13">
      <c r="B540" s="14" t="s">
        <v>570</v>
      </c>
      <c r="C540" t="s">
        <v>815</v>
      </c>
      <c r="D540" s="14" t="s">
        <v>22</v>
      </c>
      <c r="E540" s="14" t="s">
        <v>453</v>
      </c>
      <c r="F540" t="s">
        <v>636</v>
      </c>
      <c r="G540">
        <v>1</v>
      </c>
      <c r="H540" s="14">
        <v>1</v>
      </c>
      <c r="I540" s="16"/>
      <c r="J540" s="58">
        <v>46265</v>
      </c>
      <c r="K540" s="53">
        <v>1</v>
      </c>
      <c r="L540" s="14" t="s">
        <v>816</v>
      </c>
      <c r="M540" t="s">
        <v>389</v>
      </c>
    </row>
    <row r="541" spans="2:13">
      <c r="B541" s="14" t="s">
        <v>817</v>
      </c>
      <c r="C541" t="s">
        <v>818</v>
      </c>
      <c r="D541" s="14" t="s">
        <v>22</v>
      </c>
      <c r="E541" s="14" t="s">
        <v>125</v>
      </c>
      <c r="F541" t="s">
        <v>705</v>
      </c>
      <c r="G541">
        <v>1</v>
      </c>
      <c r="H541" s="14">
        <v>0.5</v>
      </c>
      <c r="I541" s="16"/>
      <c r="J541" s="58">
        <v>46265</v>
      </c>
      <c r="K541" s="17">
        <v>1</v>
      </c>
      <c r="L541" s="14" t="s">
        <v>813</v>
      </c>
      <c r="M541" t="s">
        <v>389</v>
      </c>
    </row>
    <row r="542" spans="2:13">
      <c r="B542" s="14" t="s">
        <v>817</v>
      </c>
      <c r="C542" t="s">
        <v>819</v>
      </c>
      <c r="D542" s="14" t="s">
        <v>22</v>
      </c>
      <c r="E542" s="14" t="s">
        <v>453</v>
      </c>
      <c r="F542" t="s">
        <v>636</v>
      </c>
      <c r="G542">
        <v>1</v>
      </c>
      <c r="H542" s="14">
        <v>1</v>
      </c>
      <c r="I542" s="16"/>
      <c r="J542" s="58">
        <v>46265</v>
      </c>
      <c r="K542" s="53">
        <v>1</v>
      </c>
      <c r="L542" s="14" t="s">
        <v>816</v>
      </c>
      <c r="M542" t="s">
        <v>389</v>
      </c>
    </row>
    <row r="543" spans="2:13">
      <c r="B543" s="14" t="s">
        <v>278</v>
      </c>
      <c r="C543" t="s">
        <v>820</v>
      </c>
      <c r="D543" s="14" t="s">
        <v>22</v>
      </c>
      <c r="E543" s="14" t="s">
        <v>125</v>
      </c>
      <c r="F543" t="s">
        <v>705</v>
      </c>
      <c r="G543">
        <v>1</v>
      </c>
      <c r="H543" s="14">
        <v>2.5</v>
      </c>
      <c r="I543" s="16"/>
      <c r="J543" s="4">
        <v>46266</v>
      </c>
      <c r="K543" s="17">
        <v>2</v>
      </c>
      <c r="L543" s="14" t="s">
        <v>821</v>
      </c>
      <c r="M543" t="s">
        <v>389</v>
      </c>
    </row>
    <row r="544" spans="2:13">
      <c r="B544" s="14" t="s">
        <v>822</v>
      </c>
      <c r="C544" t="s">
        <v>823</v>
      </c>
      <c r="D544" s="14" t="s">
        <v>22</v>
      </c>
      <c r="E544" s="14" t="s">
        <v>125</v>
      </c>
      <c r="F544" t="s">
        <v>705</v>
      </c>
      <c r="G544">
        <v>1</v>
      </c>
      <c r="H544" s="14">
        <v>2.5</v>
      </c>
      <c r="I544" s="16"/>
      <c r="J544" s="4">
        <v>46266</v>
      </c>
      <c r="K544" s="17">
        <v>1</v>
      </c>
      <c r="L544" s="14" t="s">
        <v>824</v>
      </c>
      <c r="M544" t="s">
        <v>389</v>
      </c>
    </row>
    <row r="545" spans="2:13">
      <c r="B545" s="14" t="s">
        <v>825</v>
      </c>
      <c r="C545" t="s">
        <v>826</v>
      </c>
      <c r="D545" s="14" t="s">
        <v>41</v>
      </c>
      <c r="E545" s="14" t="s">
        <v>125</v>
      </c>
      <c r="F545" t="s">
        <v>705</v>
      </c>
      <c r="G545">
        <v>1</v>
      </c>
      <c r="H545" s="14">
        <v>2.5</v>
      </c>
      <c r="I545" s="16"/>
      <c r="J545" s="4">
        <v>46266</v>
      </c>
      <c r="K545" s="17">
        <v>2.5</v>
      </c>
      <c r="L545" s="14" t="s">
        <v>827</v>
      </c>
      <c r="M545" t="s">
        <v>389</v>
      </c>
    </row>
    <row r="546" spans="2:13">
      <c r="B546" s="14" t="s">
        <v>12</v>
      </c>
      <c r="C546" t="s">
        <v>828</v>
      </c>
      <c r="D546" s="14" t="s">
        <v>41</v>
      </c>
      <c r="E546" s="14" t="s">
        <v>125</v>
      </c>
      <c r="F546" t="s">
        <v>626</v>
      </c>
      <c r="G546">
        <v>1</v>
      </c>
      <c r="H546" s="14">
        <v>2</v>
      </c>
      <c r="I546" s="16"/>
      <c r="J546" s="4">
        <v>46266</v>
      </c>
      <c r="K546" s="17">
        <v>3.5</v>
      </c>
      <c r="L546" s="14" t="s">
        <v>829</v>
      </c>
      <c r="M546" t="s">
        <v>389</v>
      </c>
    </row>
    <row r="547" spans="2:13">
      <c r="B547" s="14" t="s">
        <v>589</v>
      </c>
      <c r="C547" t="s">
        <v>830</v>
      </c>
      <c r="D547" s="14" t="s">
        <v>22</v>
      </c>
      <c r="E547" s="14" t="s">
        <v>453</v>
      </c>
      <c r="F547" t="s">
        <v>636</v>
      </c>
      <c r="G547">
        <v>1</v>
      </c>
      <c r="H547" s="14">
        <v>1.5</v>
      </c>
      <c r="I547" s="16"/>
      <c r="J547" s="4">
        <v>46266</v>
      </c>
      <c r="K547" s="53">
        <v>1</v>
      </c>
      <c r="L547" s="14" t="s">
        <v>831</v>
      </c>
      <c r="M547" t="s">
        <v>389</v>
      </c>
    </row>
    <row r="548" spans="2:13">
      <c r="B548" s="14" t="s">
        <v>589</v>
      </c>
      <c r="C548" t="s">
        <v>832</v>
      </c>
      <c r="D548" s="14" t="s">
        <v>22</v>
      </c>
      <c r="E548" s="14" t="s">
        <v>453</v>
      </c>
      <c r="F548" t="s">
        <v>636</v>
      </c>
      <c r="G548">
        <v>1</v>
      </c>
      <c r="H548" s="14">
        <v>1.5</v>
      </c>
      <c r="I548" s="16"/>
      <c r="J548" s="4">
        <v>46266</v>
      </c>
      <c r="K548" s="53">
        <v>1</v>
      </c>
      <c r="L548" s="14" t="s">
        <v>831</v>
      </c>
      <c r="M548" t="s">
        <v>389</v>
      </c>
    </row>
    <row r="549" spans="2:13">
      <c r="B549" s="14" t="s">
        <v>833</v>
      </c>
      <c r="C549" t="s">
        <v>834</v>
      </c>
      <c r="D549" s="14" t="s">
        <v>22</v>
      </c>
      <c r="E549" s="14" t="s">
        <v>453</v>
      </c>
      <c r="F549" t="s">
        <v>636</v>
      </c>
      <c r="G549">
        <v>1</v>
      </c>
      <c r="H549" s="14">
        <v>1.5</v>
      </c>
      <c r="I549" s="16"/>
      <c r="J549" s="4">
        <v>46266</v>
      </c>
      <c r="K549" s="53">
        <v>1</v>
      </c>
      <c r="L549" s="14" t="s">
        <v>831</v>
      </c>
      <c r="M549" t="s">
        <v>389</v>
      </c>
    </row>
    <row r="550" spans="2:13">
      <c r="B550" s="14" t="s">
        <v>589</v>
      </c>
      <c r="C550" t="s">
        <v>835</v>
      </c>
      <c r="D550" s="14" t="s">
        <v>22</v>
      </c>
      <c r="E550" s="14" t="s">
        <v>453</v>
      </c>
      <c r="F550" t="s">
        <v>636</v>
      </c>
      <c r="G550">
        <v>1</v>
      </c>
      <c r="H550" s="14">
        <v>1.5</v>
      </c>
      <c r="I550" s="16"/>
      <c r="J550" s="4">
        <v>46266</v>
      </c>
      <c r="K550" s="53">
        <v>1</v>
      </c>
      <c r="L550" s="14" t="s">
        <v>831</v>
      </c>
      <c r="M550" t="s">
        <v>389</v>
      </c>
    </row>
    <row r="551" spans="2:13">
      <c r="B551" s="14" t="s">
        <v>12</v>
      </c>
      <c r="C551" t="s">
        <v>836</v>
      </c>
      <c r="D551" s="14" t="s">
        <v>41</v>
      </c>
      <c r="E551" s="14" t="s">
        <v>453</v>
      </c>
      <c r="F551" t="s">
        <v>681</v>
      </c>
      <c r="G551">
        <v>1</v>
      </c>
      <c r="H551" s="14">
        <v>5</v>
      </c>
      <c r="I551" s="16"/>
      <c r="J551" s="4">
        <v>46266</v>
      </c>
      <c r="K551" s="17">
        <v>11</v>
      </c>
      <c r="L551" s="14" t="s">
        <v>837</v>
      </c>
      <c r="M551" t="s">
        <v>389</v>
      </c>
    </row>
    <row r="552" spans="2:13">
      <c r="B552" s="14" t="s">
        <v>103</v>
      </c>
      <c r="C552" t="s">
        <v>838</v>
      </c>
      <c r="D552" s="14" t="s">
        <v>41</v>
      </c>
      <c r="E552" s="14" t="s">
        <v>453</v>
      </c>
      <c r="F552" t="s">
        <v>681</v>
      </c>
      <c r="G552">
        <v>1</v>
      </c>
      <c r="H552" s="14">
        <v>3</v>
      </c>
      <c r="I552" s="16"/>
      <c r="J552" s="4">
        <v>46266</v>
      </c>
      <c r="K552" s="17">
        <v>3</v>
      </c>
      <c r="L552" s="14" t="s">
        <v>839</v>
      </c>
      <c r="M552" t="s">
        <v>389</v>
      </c>
    </row>
    <row r="553" spans="2:13">
      <c r="B553" s="14" t="s">
        <v>12</v>
      </c>
      <c r="C553" t="s">
        <v>840</v>
      </c>
      <c r="D553" s="14" t="s">
        <v>22</v>
      </c>
      <c r="E553" s="14" t="s">
        <v>453</v>
      </c>
      <c r="F553" t="s">
        <v>695</v>
      </c>
      <c r="G553">
        <v>1</v>
      </c>
      <c r="H553" s="14">
        <v>1</v>
      </c>
      <c r="I553" s="16"/>
      <c r="J553" s="4">
        <v>46266</v>
      </c>
      <c r="K553" s="53">
        <v>1</v>
      </c>
      <c r="L553" s="14" t="s">
        <v>841</v>
      </c>
      <c r="M553" t="s">
        <v>389</v>
      </c>
    </row>
    <row r="554" spans="2:13">
      <c r="B554" s="14" t="s">
        <v>12</v>
      </c>
      <c r="C554" t="s">
        <v>842</v>
      </c>
      <c r="D554" s="14" t="s">
        <v>22</v>
      </c>
      <c r="E554" s="14" t="s">
        <v>125</v>
      </c>
      <c r="F554" t="s">
        <v>705</v>
      </c>
      <c r="G554">
        <v>1</v>
      </c>
      <c r="H554" s="14">
        <f>30/60</f>
        <v>0.5</v>
      </c>
      <c r="I554" s="16"/>
      <c r="J554" s="4">
        <v>46266</v>
      </c>
      <c r="K554" s="53">
        <v>0.5</v>
      </c>
      <c r="L554" s="14" t="s">
        <v>843</v>
      </c>
      <c r="M554" t="s">
        <v>389</v>
      </c>
    </row>
    <row r="555" spans="2:13">
      <c r="B555" s="14" t="s">
        <v>804</v>
      </c>
      <c r="C555" t="s">
        <v>844</v>
      </c>
      <c r="D555" s="14" t="s">
        <v>41</v>
      </c>
      <c r="E555" s="14" t="s">
        <v>453</v>
      </c>
      <c r="F555" t="s">
        <v>688</v>
      </c>
      <c r="G555">
        <v>2</v>
      </c>
      <c r="H555" s="14">
        <v>3</v>
      </c>
      <c r="I555" s="16"/>
      <c r="J555" s="17">
        <v>46272</v>
      </c>
      <c r="K555" s="17">
        <v>4</v>
      </c>
      <c r="L555" s="14" t="s">
        <v>845</v>
      </c>
      <c r="M555" t="s">
        <v>389</v>
      </c>
    </row>
    <row r="556" spans="2:13">
      <c r="B556" s="14" t="s">
        <v>846</v>
      </c>
      <c r="C556" t="s">
        <v>844</v>
      </c>
      <c r="D556" s="14" t="s">
        <v>41</v>
      </c>
      <c r="E556" s="14" t="s">
        <v>453</v>
      </c>
      <c r="F556" t="s">
        <v>688</v>
      </c>
      <c r="G556">
        <v>2</v>
      </c>
      <c r="H556" s="14">
        <v>3</v>
      </c>
      <c r="I556" s="16"/>
      <c r="J556" s="17">
        <v>46272</v>
      </c>
      <c r="K556" s="17">
        <v>4</v>
      </c>
      <c r="L556" s="14" t="s">
        <v>847</v>
      </c>
      <c r="M556" t="s">
        <v>389</v>
      </c>
    </row>
    <row r="557" spans="2:13">
      <c r="B557" s="3" t="s">
        <v>804</v>
      </c>
      <c r="C557" t="s">
        <v>848</v>
      </c>
      <c r="D557" s="3" t="s">
        <v>41</v>
      </c>
      <c r="E557" s="3" t="s">
        <v>125</v>
      </c>
      <c r="F557" t="s">
        <v>705</v>
      </c>
      <c r="G557">
        <v>1</v>
      </c>
      <c r="H557" s="3">
        <v>2</v>
      </c>
      <c r="I557" s="6"/>
      <c r="J557" s="17">
        <v>46272</v>
      </c>
      <c r="K557" s="17">
        <v>1</v>
      </c>
      <c r="L557" s="3" t="s">
        <v>849</v>
      </c>
      <c r="M557" t="s">
        <v>389</v>
      </c>
    </row>
    <row r="558" spans="2:13">
      <c r="B558" s="3" t="s">
        <v>846</v>
      </c>
      <c r="C558" t="s">
        <v>848</v>
      </c>
      <c r="D558" s="3" t="s">
        <v>41</v>
      </c>
      <c r="E558" s="3" t="s">
        <v>125</v>
      </c>
      <c r="F558" t="s">
        <v>705</v>
      </c>
      <c r="G558">
        <v>1</v>
      </c>
      <c r="H558" s="3">
        <v>2</v>
      </c>
      <c r="I558" s="6"/>
      <c r="J558" s="17">
        <v>46272</v>
      </c>
      <c r="K558" s="17">
        <v>1</v>
      </c>
      <c r="L558" s="3" t="s">
        <v>849</v>
      </c>
      <c r="M558" t="s">
        <v>389</v>
      </c>
    </row>
    <row r="559" spans="2:13">
      <c r="B559" s="3" t="s">
        <v>58</v>
      </c>
      <c r="C559" t="s">
        <v>848</v>
      </c>
      <c r="D559" s="3" t="s">
        <v>41</v>
      </c>
      <c r="E559" s="3" t="s">
        <v>125</v>
      </c>
      <c r="F559" t="s">
        <v>705</v>
      </c>
      <c r="G559">
        <v>1</v>
      </c>
      <c r="H559" s="3">
        <v>2</v>
      </c>
      <c r="I559" s="6"/>
      <c r="J559" s="17">
        <v>46272</v>
      </c>
      <c r="K559" s="17">
        <v>1</v>
      </c>
      <c r="L559" s="3" t="s">
        <v>849</v>
      </c>
      <c r="M559" t="s">
        <v>389</v>
      </c>
    </row>
    <row r="560" spans="2:13">
      <c r="B560" s="14" t="s">
        <v>306</v>
      </c>
      <c r="C560" t="s">
        <v>848</v>
      </c>
      <c r="D560" s="3" t="s">
        <v>41</v>
      </c>
      <c r="E560" s="3" t="s">
        <v>125</v>
      </c>
      <c r="F560" t="s">
        <v>705</v>
      </c>
      <c r="G560">
        <v>1</v>
      </c>
      <c r="H560" s="14">
        <v>2</v>
      </c>
      <c r="I560" s="16"/>
      <c r="J560" s="17">
        <v>46272</v>
      </c>
      <c r="K560" s="17">
        <v>1</v>
      </c>
      <c r="L560" s="3" t="s">
        <v>849</v>
      </c>
      <c r="M560" t="s">
        <v>389</v>
      </c>
    </row>
    <row r="561" spans="2:13">
      <c r="B561" s="14" t="s">
        <v>267</v>
      </c>
      <c r="C561" t="s">
        <v>850</v>
      </c>
      <c r="D561" s="14" t="s">
        <v>41</v>
      </c>
      <c r="E561" s="14" t="s">
        <v>453</v>
      </c>
      <c r="F561" t="s">
        <v>851</v>
      </c>
      <c r="G561">
        <v>2</v>
      </c>
      <c r="H561" s="72">
        <f>8*(25/60)</f>
        <v>3.3333333333333335</v>
      </c>
      <c r="I561" s="16"/>
      <c r="J561" s="17">
        <v>46272</v>
      </c>
      <c r="K561" s="17">
        <v>5.4</v>
      </c>
      <c r="L561" s="14" t="s">
        <v>852</v>
      </c>
      <c r="M561" t="s">
        <v>389</v>
      </c>
    </row>
    <row r="562" spans="2:13">
      <c r="B562" s="14" t="s">
        <v>785</v>
      </c>
      <c r="C562" t="s">
        <v>853</v>
      </c>
      <c r="D562" s="14" t="s">
        <v>41</v>
      </c>
      <c r="E562" s="14" t="s">
        <v>453</v>
      </c>
      <c r="F562" t="s">
        <v>681</v>
      </c>
      <c r="G562">
        <v>1</v>
      </c>
      <c r="H562" s="14">
        <f>12*(45/60)</f>
        <v>9</v>
      </c>
      <c r="I562" s="16"/>
      <c r="J562" s="17">
        <v>46272</v>
      </c>
      <c r="K562" s="17">
        <v>4</v>
      </c>
      <c r="L562" s="14" t="s">
        <v>854</v>
      </c>
      <c r="M562" t="s">
        <v>389</v>
      </c>
    </row>
    <row r="563" spans="2:13" hidden="1">
      <c r="B563" s="14" t="s">
        <v>586</v>
      </c>
      <c r="C563" t="s">
        <v>853</v>
      </c>
      <c r="D563" s="14" t="s">
        <v>41</v>
      </c>
      <c r="E563" s="14" t="s">
        <v>453</v>
      </c>
      <c r="F563" t="s">
        <v>618</v>
      </c>
      <c r="G563">
        <v>1</v>
      </c>
      <c r="H563" s="72">
        <f>1*(45/60)</f>
        <v>0.75</v>
      </c>
      <c r="I563" s="16"/>
      <c r="J563" s="17">
        <v>46272</v>
      </c>
      <c r="K563" s="17"/>
      <c r="L563" s="14" t="s">
        <v>578</v>
      </c>
      <c r="M563" t="s">
        <v>467</v>
      </c>
    </row>
    <row r="564" spans="2:13">
      <c r="B564" s="14" t="s">
        <v>577</v>
      </c>
      <c r="C564" t="s">
        <v>853</v>
      </c>
      <c r="D564" s="14" t="s">
        <v>41</v>
      </c>
      <c r="E564" s="14" t="s">
        <v>453</v>
      </c>
      <c r="F564" t="s">
        <v>618</v>
      </c>
      <c r="G564">
        <v>1</v>
      </c>
      <c r="H564" s="14">
        <f>8*(45/60)</f>
        <v>6</v>
      </c>
      <c r="I564" s="16"/>
      <c r="J564" s="17">
        <v>46286</v>
      </c>
      <c r="K564" s="53">
        <v>5</v>
      </c>
      <c r="L564" s="14" t="s">
        <v>855</v>
      </c>
      <c r="M564" t="s">
        <v>389</v>
      </c>
    </row>
    <row r="565" spans="2:13" hidden="1">
      <c r="B565" s="14" t="s">
        <v>92</v>
      </c>
      <c r="C565" s="65" t="s">
        <v>856</v>
      </c>
      <c r="D565" s="14" t="s">
        <v>41</v>
      </c>
      <c r="E565" s="14" t="s">
        <v>453</v>
      </c>
      <c r="F565" t="s">
        <v>857</v>
      </c>
      <c r="G565">
        <v>1</v>
      </c>
      <c r="H565" s="14">
        <f>1.5*4</f>
        <v>6</v>
      </c>
      <c r="I565" s="16"/>
      <c r="J565" s="17">
        <v>46272</v>
      </c>
      <c r="K565" s="17"/>
      <c r="L565" s="14" t="s">
        <v>858</v>
      </c>
      <c r="M565" t="s">
        <v>389</v>
      </c>
    </row>
    <row r="566" spans="2:13">
      <c r="B566" s="14" t="s">
        <v>600</v>
      </c>
      <c r="C566" t="s">
        <v>859</v>
      </c>
      <c r="D566" s="14" t="s">
        <v>22</v>
      </c>
      <c r="E566" s="14" t="s">
        <v>125</v>
      </c>
      <c r="F566" t="s">
        <v>803</v>
      </c>
      <c r="G566">
        <v>2</v>
      </c>
      <c r="H566" s="14">
        <v>2</v>
      </c>
      <c r="I566" s="16"/>
      <c r="J566" s="17">
        <v>46272</v>
      </c>
      <c r="K566" s="17">
        <v>2</v>
      </c>
      <c r="L566" s="14" t="s">
        <v>860</v>
      </c>
      <c r="M566" t="s">
        <v>389</v>
      </c>
    </row>
    <row r="567" spans="2:13" hidden="1">
      <c r="B567" s="14" t="s">
        <v>861</v>
      </c>
      <c r="C567" t="s">
        <v>800</v>
      </c>
      <c r="D567" s="14" t="s">
        <v>41</v>
      </c>
      <c r="E567" s="14" t="s">
        <v>125</v>
      </c>
      <c r="F567" t="s">
        <v>626</v>
      </c>
      <c r="G567">
        <v>1</v>
      </c>
      <c r="H567" s="72">
        <f>22*(20/60)</f>
        <v>7.333333333333333</v>
      </c>
      <c r="I567" s="16"/>
      <c r="J567" s="17">
        <v>46272</v>
      </c>
      <c r="K567" s="17">
        <v>7</v>
      </c>
      <c r="L567" s="14"/>
      <c r="M567" t="s">
        <v>389</v>
      </c>
    </row>
    <row r="568" spans="2:13">
      <c r="B568" s="14" t="s">
        <v>403</v>
      </c>
      <c r="C568" t="s">
        <v>862</v>
      </c>
      <c r="D568" s="14" t="s">
        <v>41</v>
      </c>
      <c r="E568" s="14" t="s">
        <v>125</v>
      </c>
      <c r="F568" t="s">
        <v>803</v>
      </c>
      <c r="G568">
        <v>1</v>
      </c>
      <c r="H568" s="14">
        <v>1</v>
      </c>
      <c r="I568" s="16"/>
      <c r="J568" s="17">
        <v>46272</v>
      </c>
      <c r="K568" s="17">
        <v>1</v>
      </c>
      <c r="L568" s="14" t="s">
        <v>863</v>
      </c>
      <c r="M568" t="s">
        <v>389</v>
      </c>
    </row>
    <row r="569" spans="2:13">
      <c r="B569" s="14" t="s">
        <v>411</v>
      </c>
      <c r="C569" t="s">
        <v>862</v>
      </c>
      <c r="D569" s="14" t="s">
        <v>41</v>
      </c>
      <c r="E569" s="14" t="s">
        <v>125</v>
      </c>
      <c r="F569" t="s">
        <v>803</v>
      </c>
      <c r="G569">
        <v>1</v>
      </c>
      <c r="H569" s="14">
        <v>1</v>
      </c>
      <c r="I569" s="16"/>
      <c r="J569" s="17">
        <v>46272</v>
      </c>
      <c r="K569" s="17">
        <v>1</v>
      </c>
      <c r="L569" s="14" t="s">
        <v>864</v>
      </c>
      <c r="M569" t="s">
        <v>389</v>
      </c>
    </row>
    <row r="570" spans="2:13">
      <c r="B570" s="14" t="s">
        <v>278</v>
      </c>
      <c r="C570" t="s">
        <v>862</v>
      </c>
      <c r="D570" s="14" t="s">
        <v>41</v>
      </c>
      <c r="E570" s="14" t="s">
        <v>125</v>
      </c>
      <c r="F570" t="s">
        <v>803</v>
      </c>
      <c r="G570">
        <v>1</v>
      </c>
      <c r="H570" s="14">
        <v>1</v>
      </c>
      <c r="I570" s="16"/>
      <c r="J570" s="17">
        <v>46272</v>
      </c>
      <c r="K570" s="17">
        <v>1</v>
      </c>
      <c r="L570" s="14" t="s">
        <v>863</v>
      </c>
      <c r="M570" t="s">
        <v>389</v>
      </c>
    </row>
    <row r="571" spans="2:13">
      <c r="B571" s="14" t="s">
        <v>267</v>
      </c>
      <c r="C571" t="s">
        <v>865</v>
      </c>
      <c r="D571" s="14" t="s">
        <v>22</v>
      </c>
      <c r="E571" s="14" t="s">
        <v>453</v>
      </c>
      <c r="F571" t="s">
        <v>760</v>
      </c>
      <c r="G571">
        <v>2</v>
      </c>
      <c r="H571" s="14">
        <v>9</v>
      </c>
      <c r="I571" s="16"/>
      <c r="J571" s="17">
        <v>46272</v>
      </c>
      <c r="K571" s="17">
        <v>9</v>
      </c>
      <c r="L571" s="14" t="s">
        <v>866</v>
      </c>
      <c r="M571" t="s">
        <v>389</v>
      </c>
    </row>
    <row r="572" spans="2:13">
      <c r="B572" s="14" t="s">
        <v>577</v>
      </c>
      <c r="C572" t="s">
        <v>867</v>
      </c>
      <c r="D572" s="14" t="s">
        <v>41</v>
      </c>
      <c r="E572" s="14" t="s">
        <v>453</v>
      </c>
      <c r="F572" t="s">
        <v>618</v>
      </c>
      <c r="G572">
        <v>1</v>
      </c>
      <c r="H572" s="72">
        <f>5*(45/60)</f>
        <v>3.75</v>
      </c>
      <c r="I572" s="16"/>
      <c r="J572" s="17">
        <v>46272</v>
      </c>
      <c r="K572" s="17">
        <v>3</v>
      </c>
      <c r="L572" s="14" t="s">
        <v>868</v>
      </c>
      <c r="M572" t="s">
        <v>389</v>
      </c>
    </row>
    <row r="573" spans="2:13">
      <c r="B573" s="14" t="s">
        <v>869</v>
      </c>
      <c r="C573" t="s">
        <v>870</v>
      </c>
      <c r="D573" s="14" t="s">
        <v>41</v>
      </c>
      <c r="E573" s="14" t="s">
        <v>125</v>
      </c>
      <c r="F573" t="s">
        <v>803</v>
      </c>
      <c r="G573">
        <v>1</v>
      </c>
      <c r="H573" s="14">
        <v>2</v>
      </c>
      <c r="I573" s="16"/>
      <c r="J573" s="17">
        <v>46272</v>
      </c>
      <c r="K573" s="17">
        <v>7</v>
      </c>
      <c r="L573" s="14" t="s">
        <v>871</v>
      </c>
      <c r="M573" t="s">
        <v>389</v>
      </c>
    </row>
    <row r="574" spans="2:13" hidden="1">
      <c r="B574" s="14" t="s">
        <v>349</v>
      </c>
      <c r="C574" t="s">
        <v>872</v>
      </c>
      <c r="D574" s="14" t="s">
        <v>41</v>
      </c>
      <c r="E574" s="14"/>
      <c r="H574" s="14"/>
      <c r="I574" s="16"/>
      <c r="J574" s="17">
        <v>46300</v>
      </c>
      <c r="K574" s="17"/>
      <c r="L574" s="14"/>
      <c r="M574" t="s">
        <v>454</v>
      </c>
    </row>
    <row r="575" spans="2:13" hidden="1">
      <c r="B575" s="14" t="s">
        <v>785</v>
      </c>
      <c r="C575" t="s">
        <v>873</v>
      </c>
      <c r="D575" s="14" t="s">
        <v>41</v>
      </c>
      <c r="E575" s="14"/>
      <c r="H575" s="14"/>
      <c r="I575" s="16"/>
      <c r="J575" s="17">
        <v>46300</v>
      </c>
      <c r="K575" s="17"/>
      <c r="L575" s="14"/>
      <c r="M575" t="s">
        <v>454</v>
      </c>
    </row>
    <row r="576" spans="2:13">
      <c r="B576" s="14" t="s">
        <v>570</v>
      </c>
      <c r="C576" t="s">
        <v>874</v>
      </c>
      <c r="D576" s="14" t="s">
        <v>41</v>
      </c>
      <c r="E576" s="14" t="s">
        <v>453</v>
      </c>
      <c r="F576" t="s">
        <v>695</v>
      </c>
      <c r="G576">
        <v>1</v>
      </c>
      <c r="H576" s="14">
        <f>+(45/60)*(17-9)</f>
        <v>6</v>
      </c>
      <c r="I576" s="16"/>
      <c r="J576" s="17">
        <v>46286</v>
      </c>
      <c r="K576" s="53">
        <v>5</v>
      </c>
      <c r="L576" s="14" t="s">
        <v>875</v>
      </c>
      <c r="M576" t="s">
        <v>389</v>
      </c>
    </row>
    <row r="577" spans="2:13" hidden="1">
      <c r="B577" s="14" t="s">
        <v>755</v>
      </c>
      <c r="C577" s="65" t="s">
        <v>876</v>
      </c>
      <c r="D577" s="14" t="s">
        <v>41</v>
      </c>
      <c r="E577" s="14" t="s">
        <v>877</v>
      </c>
      <c r="G577">
        <v>1</v>
      </c>
      <c r="H577" s="14">
        <v>4</v>
      </c>
      <c r="I577" s="16"/>
      <c r="J577" s="17">
        <v>46283</v>
      </c>
      <c r="K577" s="17"/>
      <c r="L577" s="14"/>
      <c r="M577" t="s">
        <v>454</v>
      </c>
    </row>
    <row r="578" spans="2:13" hidden="1">
      <c r="B578" s="14" t="s">
        <v>785</v>
      </c>
      <c r="C578" s="65" t="s">
        <v>876</v>
      </c>
      <c r="D578" s="14" t="s">
        <v>41</v>
      </c>
      <c r="E578" s="14" t="s">
        <v>877</v>
      </c>
      <c r="G578">
        <v>1</v>
      </c>
      <c r="H578" s="14">
        <v>4</v>
      </c>
      <c r="I578" s="16"/>
      <c r="J578" s="17">
        <v>46283</v>
      </c>
      <c r="K578" s="17"/>
      <c r="L578" s="14"/>
      <c r="M578" t="s">
        <v>454</v>
      </c>
    </row>
    <row r="579" spans="2:13" hidden="1">
      <c r="B579" s="14" t="s">
        <v>267</v>
      </c>
      <c r="C579" t="s">
        <v>878</v>
      </c>
      <c r="D579" s="14" t="s">
        <v>22</v>
      </c>
      <c r="E579" s="14" t="s">
        <v>572</v>
      </c>
      <c r="H579" s="14"/>
      <c r="I579" s="16"/>
      <c r="J579" s="17">
        <v>46283</v>
      </c>
      <c r="K579" s="17"/>
      <c r="L579" s="14"/>
    </row>
    <row r="580" spans="2:13" hidden="1">
      <c r="B580" s="14" t="s">
        <v>267</v>
      </c>
      <c r="C580" s="65" t="s">
        <v>879</v>
      </c>
      <c r="D580" s="14" t="s">
        <v>41</v>
      </c>
      <c r="E580" s="14" t="s">
        <v>453</v>
      </c>
      <c r="F580" t="s">
        <v>618</v>
      </c>
      <c r="G580">
        <v>1</v>
      </c>
      <c r="H580" s="14">
        <v>2</v>
      </c>
      <c r="I580" s="16"/>
      <c r="J580" s="17">
        <v>46283</v>
      </c>
      <c r="K580" s="17"/>
      <c r="L580" s="14"/>
      <c r="M580" t="s">
        <v>454</v>
      </c>
    </row>
    <row r="581" spans="2:13" hidden="1">
      <c r="B581" s="14" t="s">
        <v>103</v>
      </c>
      <c r="C581" t="s">
        <v>880</v>
      </c>
      <c r="D581" s="14" t="s">
        <v>41</v>
      </c>
      <c r="E581" s="14" t="s">
        <v>453</v>
      </c>
      <c r="F581" t="s">
        <v>618</v>
      </c>
      <c r="G581">
        <v>2</v>
      </c>
      <c r="H581" s="14">
        <f>8-3</f>
        <v>5</v>
      </c>
      <c r="I581" s="16"/>
      <c r="J581" s="17">
        <v>46296</v>
      </c>
      <c r="K581" s="17"/>
      <c r="L581" s="14"/>
      <c r="M581" t="s">
        <v>454</v>
      </c>
    </row>
    <row r="582" spans="2:13" hidden="1">
      <c r="B582" s="14" t="s">
        <v>267</v>
      </c>
      <c r="C582" t="s">
        <v>881</v>
      </c>
      <c r="D582" s="14" t="s">
        <v>22</v>
      </c>
      <c r="E582" s="14"/>
      <c r="H582" s="14"/>
      <c r="I582" s="16"/>
      <c r="J582" s="17">
        <v>46300</v>
      </c>
      <c r="K582" s="17"/>
      <c r="L582" s="14"/>
    </row>
    <row r="583" spans="2:13" hidden="1">
      <c r="B583" s="14" t="s">
        <v>278</v>
      </c>
      <c r="C583" t="s">
        <v>882</v>
      </c>
      <c r="D583" s="14" t="s">
        <v>22</v>
      </c>
      <c r="E583" s="14" t="s">
        <v>125</v>
      </c>
      <c r="F583" t="s">
        <v>883</v>
      </c>
      <c r="G583">
        <v>1</v>
      </c>
      <c r="H583" s="14">
        <v>1.5</v>
      </c>
      <c r="I583" s="16"/>
      <c r="J583" s="17">
        <v>46307</v>
      </c>
      <c r="K583" s="17"/>
      <c r="L583" s="14"/>
    </row>
    <row r="584" spans="2:13">
      <c r="B584" s="14" t="s">
        <v>278</v>
      </c>
      <c r="C584" t="s">
        <v>884</v>
      </c>
      <c r="D584" s="14" t="s">
        <v>41</v>
      </c>
      <c r="E584" s="14" t="s">
        <v>125</v>
      </c>
      <c r="F584" t="s">
        <v>681</v>
      </c>
      <c r="G584">
        <v>1</v>
      </c>
      <c r="H584" s="14">
        <f>+(45/60)+(45/60)</f>
        <v>1.5</v>
      </c>
      <c r="I584" s="16"/>
      <c r="J584" s="17">
        <v>46286</v>
      </c>
      <c r="K584" s="53">
        <v>1</v>
      </c>
      <c r="L584" s="14" t="s">
        <v>885</v>
      </c>
      <c r="M584" t="s">
        <v>389</v>
      </c>
    </row>
    <row r="585" spans="2:13">
      <c r="B585" s="14" t="s">
        <v>278</v>
      </c>
      <c r="C585" t="s">
        <v>886</v>
      </c>
      <c r="D585" s="14" t="s">
        <v>41</v>
      </c>
      <c r="E585" s="14" t="s">
        <v>125</v>
      </c>
      <c r="F585" t="s">
        <v>681</v>
      </c>
      <c r="G585">
        <v>1</v>
      </c>
      <c r="H585" s="14">
        <v>4</v>
      </c>
      <c r="I585" s="16"/>
      <c r="J585" s="17">
        <v>46286</v>
      </c>
      <c r="K585" s="53">
        <v>3</v>
      </c>
      <c r="L585" s="14" t="s">
        <v>885</v>
      </c>
      <c r="M585" t="s">
        <v>389</v>
      </c>
    </row>
    <row r="586" spans="2:13" hidden="1">
      <c r="B586" s="14" t="s">
        <v>411</v>
      </c>
      <c r="C586" t="s">
        <v>886</v>
      </c>
      <c r="D586" s="14" t="s">
        <v>41</v>
      </c>
      <c r="E586" s="14" t="s">
        <v>125</v>
      </c>
      <c r="F586" t="s">
        <v>618</v>
      </c>
      <c r="G586">
        <v>1</v>
      </c>
      <c r="H586" s="14">
        <v>2</v>
      </c>
      <c r="I586" s="16"/>
      <c r="J586" s="17">
        <v>46296</v>
      </c>
      <c r="K586" s="17"/>
      <c r="L586" s="14"/>
      <c r="M586" t="s">
        <v>454</v>
      </c>
    </row>
    <row r="587" spans="2:13" hidden="1">
      <c r="B587" s="14" t="s">
        <v>411</v>
      </c>
      <c r="C587" t="s">
        <v>887</v>
      </c>
      <c r="D587" s="14" t="s">
        <v>41</v>
      </c>
      <c r="E587" s="14" t="s">
        <v>453</v>
      </c>
      <c r="F587" t="s">
        <v>618</v>
      </c>
      <c r="G587">
        <v>1</v>
      </c>
      <c r="H587" s="14">
        <f>45/60</f>
        <v>0.75</v>
      </c>
      <c r="I587" s="16"/>
      <c r="J587" s="17">
        <v>46296</v>
      </c>
      <c r="K587" s="17"/>
      <c r="L587" s="14"/>
      <c r="M587" t="s">
        <v>454</v>
      </c>
    </row>
    <row r="588" spans="2:13" hidden="1">
      <c r="B588" s="14" t="s">
        <v>92</v>
      </c>
      <c r="C588" t="s">
        <v>888</v>
      </c>
      <c r="D588" s="14" t="s">
        <v>41</v>
      </c>
      <c r="E588" s="14" t="s">
        <v>125</v>
      </c>
      <c r="F588" t="s">
        <v>620</v>
      </c>
      <c r="G588">
        <v>1</v>
      </c>
      <c r="H588" s="14">
        <v>2</v>
      </c>
      <c r="I588" s="16"/>
      <c r="J588" s="17">
        <v>46286</v>
      </c>
      <c r="K588" s="53"/>
      <c r="L588" s="14" t="s">
        <v>889</v>
      </c>
      <c r="M588" t="s">
        <v>467</v>
      </c>
    </row>
    <row r="589" spans="2:13">
      <c r="B589" s="14" t="s">
        <v>267</v>
      </c>
      <c r="C589" t="s">
        <v>890</v>
      </c>
      <c r="D589" s="14" t="s">
        <v>41</v>
      </c>
      <c r="E589" s="14" t="s">
        <v>125</v>
      </c>
      <c r="F589" t="s">
        <v>705</v>
      </c>
      <c r="G589">
        <v>1</v>
      </c>
      <c r="H589" s="14">
        <v>3</v>
      </c>
      <c r="I589" s="16"/>
      <c r="J589" s="17">
        <v>46286</v>
      </c>
      <c r="K589" s="53">
        <v>3</v>
      </c>
      <c r="L589" s="14" t="s">
        <v>891</v>
      </c>
      <c r="M589" t="s">
        <v>389</v>
      </c>
    </row>
    <row r="590" spans="2:13">
      <c r="B590" s="14" t="s">
        <v>267</v>
      </c>
      <c r="C590" t="s">
        <v>892</v>
      </c>
      <c r="D590" s="14" t="s">
        <v>41</v>
      </c>
      <c r="E590" s="14" t="s">
        <v>125</v>
      </c>
      <c r="F590" t="s">
        <v>705</v>
      </c>
      <c r="G590">
        <v>1</v>
      </c>
      <c r="H590" s="14">
        <v>3</v>
      </c>
      <c r="I590" s="16"/>
      <c r="J590" s="17">
        <v>46286</v>
      </c>
      <c r="K590" s="53">
        <v>3</v>
      </c>
      <c r="L590" s="14" t="s">
        <v>891</v>
      </c>
      <c r="M590" t="s">
        <v>389</v>
      </c>
    </row>
    <row r="591" spans="2:13">
      <c r="B591" s="14" t="s">
        <v>92</v>
      </c>
      <c r="C591" t="s">
        <v>892</v>
      </c>
      <c r="D591" s="14" t="s">
        <v>41</v>
      </c>
      <c r="E591" s="14" t="s">
        <v>125</v>
      </c>
      <c r="F591" t="s">
        <v>620</v>
      </c>
      <c r="G591">
        <v>1</v>
      </c>
      <c r="H591" s="14">
        <v>2</v>
      </c>
      <c r="I591" s="16"/>
      <c r="J591" s="17">
        <v>46286</v>
      </c>
      <c r="K591" s="53">
        <v>3</v>
      </c>
      <c r="L591" s="14" t="s">
        <v>891</v>
      </c>
      <c r="M591" t="s">
        <v>389</v>
      </c>
    </row>
    <row r="592" spans="2:13">
      <c r="B592" s="14" t="s">
        <v>92</v>
      </c>
      <c r="C592" t="s">
        <v>890</v>
      </c>
      <c r="D592" s="14" t="s">
        <v>41</v>
      </c>
      <c r="E592" s="14" t="s">
        <v>125</v>
      </c>
      <c r="F592" t="s">
        <v>620</v>
      </c>
      <c r="G592">
        <v>1</v>
      </c>
      <c r="H592" s="14">
        <v>2</v>
      </c>
      <c r="I592" s="16"/>
      <c r="J592" s="17">
        <v>46286</v>
      </c>
      <c r="K592" s="53">
        <v>3</v>
      </c>
      <c r="L592" s="14" t="s">
        <v>891</v>
      </c>
      <c r="M592" t="s">
        <v>389</v>
      </c>
    </row>
    <row r="593" spans="2:13">
      <c r="B593" s="14" t="s">
        <v>103</v>
      </c>
      <c r="C593" t="s">
        <v>893</v>
      </c>
      <c r="D593" s="14" t="s">
        <v>41</v>
      </c>
      <c r="E593" s="14" t="s">
        <v>894</v>
      </c>
      <c r="F593" t="s">
        <v>626</v>
      </c>
      <c r="G593">
        <v>1</v>
      </c>
      <c r="H593" s="14">
        <v>4</v>
      </c>
      <c r="I593" s="16"/>
      <c r="J593" s="17">
        <v>46286</v>
      </c>
      <c r="K593" s="53">
        <v>3</v>
      </c>
      <c r="L593" s="14" t="s">
        <v>895</v>
      </c>
      <c r="M593" t="s">
        <v>389</v>
      </c>
    </row>
    <row r="594" spans="2:13">
      <c r="B594" s="14" t="s">
        <v>267</v>
      </c>
      <c r="C594" t="s">
        <v>896</v>
      </c>
      <c r="D594" s="14" t="s">
        <v>22</v>
      </c>
      <c r="E594" s="14" t="s">
        <v>453</v>
      </c>
      <c r="F594" t="s">
        <v>688</v>
      </c>
      <c r="G594">
        <v>1</v>
      </c>
      <c r="H594" s="14">
        <v>1</v>
      </c>
      <c r="I594" s="16"/>
      <c r="J594" s="17">
        <v>46286</v>
      </c>
      <c r="K594" s="53">
        <v>1</v>
      </c>
      <c r="L594" s="14" t="s">
        <v>897</v>
      </c>
      <c r="M594" t="s">
        <v>389</v>
      </c>
    </row>
    <row r="595" spans="2:13" hidden="1">
      <c r="B595" s="14" t="s">
        <v>12</v>
      </c>
      <c r="C595" t="s">
        <v>898</v>
      </c>
      <c r="D595" s="14" t="s">
        <v>22</v>
      </c>
      <c r="E595" s="14" t="s">
        <v>453</v>
      </c>
      <c r="F595" t="s">
        <v>618</v>
      </c>
      <c r="G595">
        <v>2</v>
      </c>
      <c r="H595" s="14">
        <v>2</v>
      </c>
      <c r="I595" s="16"/>
      <c r="J595" s="17">
        <v>46296</v>
      </c>
      <c r="K595" s="17"/>
      <c r="L595" s="14"/>
      <c r="M595" t="s">
        <v>454</v>
      </c>
    </row>
    <row r="596" spans="2:13" hidden="1">
      <c r="B596" s="14" t="s">
        <v>899</v>
      </c>
      <c r="C596" s="66" t="s">
        <v>900</v>
      </c>
      <c r="D596" s="14" t="s">
        <v>22</v>
      </c>
      <c r="E596" s="14" t="s">
        <v>453</v>
      </c>
      <c r="F596" t="s">
        <v>45</v>
      </c>
      <c r="G596">
        <v>1</v>
      </c>
      <c r="H596" s="14">
        <v>6</v>
      </c>
      <c r="I596" s="16"/>
      <c r="J596" s="17">
        <v>46289</v>
      </c>
      <c r="K596" s="17"/>
      <c r="L596" s="14"/>
      <c r="M596" t="s">
        <v>454</v>
      </c>
    </row>
    <row r="597" spans="2:13" hidden="1">
      <c r="B597" s="3" t="s">
        <v>785</v>
      </c>
      <c r="C597" s="23" t="s">
        <v>901</v>
      </c>
      <c r="D597" s="3" t="s">
        <v>41</v>
      </c>
      <c r="E597" s="3" t="s">
        <v>125</v>
      </c>
      <c r="F597" t="s">
        <v>126</v>
      </c>
      <c r="G597">
        <v>1</v>
      </c>
      <c r="H597" s="3">
        <v>3</v>
      </c>
      <c r="I597" s="6"/>
      <c r="J597" s="4">
        <v>46289</v>
      </c>
      <c r="K597" s="17"/>
      <c r="L597" s="3"/>
      <c r="M597" t="s">
        <v>454</v>
      </c>
    </row>
    <row r="598" spans="2:13" hidden="1">
      <c r="B598" s="3" t="s">
        <v>586</v>
      </c>
      <c r="C598" s="66" t="s">
        <v>902</v>
      </c>
      <c r="D598" s="3" t="s">
        <v>41</v>
      </c>
      <c r="E598" s="3" t="s">
        <v>125</v>
      </c>
      <c r="F598" t="s">
        <v>903</v>
      </c>
      <c r="G598">
        <v>1</v>
      </c>
      <c r="H598" s="3">
        <v>3</v>
      </c>
      <c r="I598" s="6"/>
      <c r="J598" s="4">
        <v>46289</v>
      </c>
      <c r="K598" s="69"/>
      <c r="L598" s="3"/>
      <c r="M598" t="s">
        <v>454</v>
      </c>
    </row>
    <row r="599" spans="2:13" hidden="1">
      <c r="B599" s="3" t="s">
        <v>278</v>
      </c>
      <c r="C599" s="66" t="s">
        <v>904</v>
      </c>
      <c r="D599" s="3" t="s">
        <v>41</v>
      </c>
      <c r="E599" s="3" t="s">
        <v>125</v>
      </c>
      <c r="F599" t="s">
        <v>903</v>
      </c>
      <c r="G599">
        <v>1</v>
      </c>
      <c r="H599" s="3">
        <v>2</v>
      </c>
      <c r="I599" s="6"/>
      <c r="J599" s="4">
        <v>46289</v>
      </c>
      <c r="K599" s="69"/>
      <c r="L599" s="3"/>
      <c r="M599" t="s">
        <v>454</v>
      </c>
    </row>
    <row r="600" spans="2:13" hidden="1">
      <c r="B600" s="3" t="s">
        <v>411</v>
      </c>
      <c r="C600" s="66" t="s">
        <v>904</v>
      </c>
      <c r="D600" s="3" t="s">
        <v>41</v>
      </c>
      <c r="E600" s="3" t="s">
        <v>125</v>
      </c>
      <c r="F600" t="s">
        <v>903</v>
      </c>
      <c r="G600">
        <v>1</v>
      </c>
      <c r="H600" s="3">
        <v>2</v>
      </c>
      <c r="I600" s="6"/>
      <c r="J600" s="4">
        <v>46289</v>
      </c>
      <c r="K600" s="69"/>
      <c r="L600" s="3"/>
      <c r="M600" t="s">
        <v>454</v>
      </c>
    </row>
    <row r="601" spans="2:13" hidden="1">
      <c r="B601" s="3" t="s">
        <v>267</v>
      </c>
      <c r="C601" s="66" t="s">
        <v>905</v>
      </c>
      <c r="D601" s="3" t="s">
        <v>41</v>
      </c>
      <c r="E601" s="3" t="s">
        <v>125</v>
      </c>
      <c r="F601" t="s">
        <v>154</v>
      </c>
      <c r="G601">
        <v>1</v>
      </c>
      <c r="H601" s="3">
        <v>8</v>
      </c>
      <c r="I601" s="6"/>
      <c r="J601" s="4">
        <v>46289</v>
      </c>
      <c r="K601" s="69"/>
      <c r="L601" s="3"/>
      <c r="M601" t="s">
        <v>454</v>
      </c>
    </row>
    <row r="602" spans="2:13" hidden="1">
      <c r="B602" s="14" t="s">
        <v>39</v>
      </c>
      <c r="C602" s="66" t="s">
        <v>904</v>
      </c>
      <c r="D602" s="14" t="s">
        <v>41</v>
      </c>
      <c r="E602" s="14" t="s">
        <v>125</v>
      </c>
      <c r="F602" t="s">
        <v>126</v>
      </c>
      <c r="G602">
        <v>1</v>
      </c>
      <c r="H602" s="14">
        <v>3</v>
      </c>
      <c r="I602" s="16"/>
      <c r="J602" s="17">
        <v>46289</v>
      </c>
      <c r="K602" s="69"/>
      <c r="L602" s="14"/>
      <c r="M602" t="s">
        <v>454</v>
      </c>
    </row>
    <row r="603" spans="2:13" hidden="1">
      <c r="B603" s="14" t="s">
        <v>12</v>
      </c>
      <c r="C603" t="s">
        <v>906</v>
      </c>
      <c r="D603" s="14" t="s">
        <v>41</v>
      </c>
      <c r="E603" s="14" t="s">
        <v>453</v>
      </c>
      <c r="F603" t="s">
        <v>695</v>
      </c>
      <c r="G603">
        <v>1</v>
      </c>
      <c r="H603" s="14">
        <v>8</v>
      </c>
      <c r="I603" s="16"/>
      <c r="J603" s="17">
        <v>46289</v>
      </c>
      <c r="K603" s="17"/>
      <c r="L603" s="14"/>
      <c r="M603" t="s">
        <v>454</v>
      </c>
    </row>
    <row r="604" spans="2:13" hidden="1">
      <c r="B604" s="14" t="s">
        <v>267</v>
      </c>
      <c r="C604" t="s">
        <v>907</v>
      </c>
      <c r="D604" s="14" t="s">
        <v>22</v>
      </c>
      <c r="E604" s="14" t="s">
        <v>453</v>
      </c>
      <c r="F604" t="s">
        <v>265</v>
      </c>
      <c r="G604">
        <v>2</v>
      </c>
      <c r="H604" s="14">
        <v>3</v>
      </c>
      <c r="I604" s="16"/>
      <c r="J604" s="17">
        <v>46290</v>
      </c>
      <c r="K604" s="17"/>
      <c r="L604" s="14"/>
      <c r="M604" t="s">
        <v>454</v>
      </c>
    </row>
    <row r="605" spans="2:13" hidden="1">
      <c r="B605" s="14" t="s">
        <v>267</v>
      </c>
      <c r="C605" t="s">
        <v>908</v>
      </c>
      <c r="D605" s="14" t="s">
        <v>22</v>
      </c>
      <c r="E605" s="14" t="s">
        <v>453</v>
      </c>
      <c r="F605" t="s">
        <v>45</v>
      </c>
      <c r="G605">
        <v>1</v>
      </c>
      <c r="H605" s="14">
        <v>2</v>
      </c>
      <c r="I605" s="16"/>
      <c r="J605" s="17">
        <v>46290</v>
      </c>
      <c r="K605" s="17"/>
      <c r="L605" s="14"/>
      <c r="M605" t="s">
        <v>454</v>
      </c>
    </row>
    <row r="606" spans="2:13" hidden="1">
      <c r="B606" s="14" t="s">
        <v>909</v>
      </c>
      <c r="C606" t="s">
        <v>910</v>
      </c>
      <c r="D606" s="14" t="s">
        <v>22</v>
      </c>
      <c r="E606" s="14" t="s">
        <v>453</v>
      </c>
      <c r="F606" t="s">
        <v>45</v>
      </c>
      <c r="G606">
        <v>1</v>
      </c>
      <c r="H606" s="14">
        <v>1</v>
      </c>
      <c r="I606" s="16"/>
      <c r="J606" s="17">
        <v>46290</v>
      </c>
      <c r="K606" s="17"/>
      <c r="L606" s="14"/>
      <c r="M606" t="s">
        <v>454</v>
      </c>
    </row>
    <row r="607" spans="2:13" hidden="1">
      <c r="B607" s="14" t="s">
        <v>589</v>
      </c>
      <c r="C607" s="66" t="s">
        <v>911</v>
      </c>
      <c r="D607" s="14" t="s">
        <v>41</v>
      </c>
      <c r="E607" s="14" t="s">
        <v>125</v>
      </c>
      <c r="F607" t="s">
        <v>126</v>
      </c>
      <c r="G607">
        <v>1</v>
      </c>
      <c r="H607" s="14">
        <v>5</v>
      </c>
      <c r="I607" s="16"/>
      <c r="J607" s="17">
        <v>46290</v>
      </c>
      <c r="K607" s="17"/>
      <c r="L607" s="14"/>
      <c r="M607" t="s">
        <v>454</v>
      </c>
    </row>
    <row r="608" spans="2:13" hidden="1">
      <c r="B608" s="14" t="s">
        <v>267</v>
      </c>
      <c r="C608" t="s">
        <v>912</v>
      </c>
      <c r="D608" s="14" t="s">
        <v>41</v>
      </c>
      <c r="E608" s="14" t="s">
        <v>125</v>
      </c>
      <c r="F608" t="s">
        <v>913</v>
      </c>
      <c r="G608">
        <v>1</v>
      </c>
      <c r="H608" s="14">
        <v>3</v>
      </c>
      <c r="I608" s="16"/>
      <c r="J608" s="17">
        <v>46290</v>
      </c>
      <c r="K608" s="17"/>
      <c r="L608" s="14"/>
      <c r="M608" t="s">
        <v>454</v>
      </c>
    </row>
    <row r="609" spans="2:13" hidden="1">
      <c r="B609" s="14" t="s">
        <v>349</v>
      </c>
      <c r="C609" t="s">
        <v>914</v>
      </c>
      <c r="D609" s="14" t="s">
        <v>41</v>
      </c>
      <c r="E609" s="14" t="s">
        <v>23</v>
      </c>
      <c r="F609" t="s">
        <v>915</v>
      </c>
      <c r="G609">
        <v>1</v>
      </c>
      <c r="H609" s="14">
        <f>30/60</f>
        <v>0.5</v>
      </c>
      <c r="I609" s="16"/>
      <c r="J609" s="17">
        <v>46295</v>
      </c>
      <c r="K609" s="17"/>
      <c r="L609" s="14"/>
      <c r="M609" t="s">
        <v>454</v>
      </c>
    </row>
    <row r="610" spans="2:13" hidden="1">
      <c r="B610" s="14" t="s">
        <v>916</v>
      </c>
      <c r="C610" t="s">
        <v>917</v>
      </c>
      <c r="D610" s="14" t="s">
        <v>41</v>
      </c>
      <c r="E610" s="14" t="s">
        <v>23</v>
      </c>
      <c r="G610">
        <v>2</v>
      </c>
      <c r="H610" s="14">
        <v>3</v>
      </c>
      <c r="I610" s="16"/>
      <c r="J610" s="17">
        <v>46295</v>
      </c>
      <c r="K610" s="17"/>
      <c r="L610" s="14"/>
      <c r="M610" t="s">
        <v>454</v>
      </c>
    </row>
    <row r="611" spans="2:13" hidden="1">
      <c r="B611" s="14" t="s">
        <v>918</v>
      </c>
      <c r="C611" t="s">
        <v>917</v>
      </c>
      <c r="D611" s="14" t="s">
        <v>41</v>
      </c>
      <c r="E611" s="14" t="s">
        <v>23</v>
      </c>
      <c r="G611">
        <v>2</v>
      </c>
      <c r="H611" s="14">
        <v>3</v>
      </c>
      <c r="I611" s="16"/>
      <c r="J611" s="17">
        <v>46295</v>
      </c>
      <c r="K611" s="17"/>
      <c r="L611" s="14"/>
      <c r="M611" t="s">
        <v>454</v>
      </c>
    </row>
    <row r="612" spans="2:13" hidden="1">
      <c r="B612" s="14" t="s">
        <v>589</v>
      </c>
      <c r="C612" t="s">
        <v>917</v>
      </c>
      <c r="D612" s="14" t="s">
        <v>41</v>
      </c>
      <c r="E612" s="14" t="s">
        <v>23</v>
      </c>
      <c r="G612">
        <v>2</v>
      </c>
      <c r="H612" s="14">
        <v>3</v>
      </c>
      <c r="I612" s="16"/>
      <c r="J612" s="17">
        <v>46295</v>
      </c>
      <c r="K612" s="17"/>
      <c r="L612" s="14"/>
      <c r="M612" t="s">
        <v>454</v>
      </c>
    </row>
    <row r="613" spans="2:13" hidden="1">
      <c r="B613" s="14" t="s">
        <v>570</v>
      </c>
      <c r="C613" t="s">
        <v>917</v>
      </c>
      <c r="D613" s="14" t="s">
        <v>41</v>
      </c>
      <c r="E613" s="14" t="s">
        <v>23</v>
      </c>
      <c r="G613">
        <v>2</v>
      </c>
      <c r="H613" s="14">
        <v>3</v>
      </c>
      <c r="I613" s="16"/>
      <c r="J613" s="17">
        <v>46295</v>
      </c>
      <c r="K613" s="17"/>
      <c r="L613" s="14"/>
      <c r="M613" t="s">
        <v>454</v>
      </c>
    </row>
    <row r="614" spans="2:13" hidden="1">
      <c r="B614" s="14" t="s">
        <v>919</v>
      </c>
      <c r="C614" t="s">
        <v>917</v>
      </c>
      <c r="D614" s="14" t="s">
        <v>41</v>
      </c>
      <c r="E614" s="14" t="s">
        <v>23</v>
      </c>
      <c r="G614">
        <v>2</v>
      </c>
      <c r="H614" s="14">
        <v>3</v>
      </c>
      <c r="I614" s="16"/>
      <c r="J614" s="17">
        <v>46295</v>
      </c>
      <c r="K614" s="17"/>
      <c r="L614" s="14"/>
      <c r="M614" t="s">
        <v>454</v>
      </c>
    </row>
    <row r="615" spans="2:13" hidden="1">
      <c r="B615" s="14" t="s">
        <v>755</v>
      </c>
      <c r="C615" t="s">
        <v>917</v>
      </c>
      <c r="D615" s="14" t="s">
        <v>41</v>
      </c>
      <c r="E615" s="14" t="s">
        <v>23</v>
      </c>
      <c r="G615">
        <v>2</v>
      </c>
      <c r="H615" s="14">
        <v>4</v>
      </c>
      <c r="I615" s="16"/>
      <c r="J615" s="17">
        <v>46295</v>
      </c>
      <c r="K615" s="17"/>
      <c r="L615" s="14"/>
      <c r="M615" t="s">
        <v>454</v>
      </c>
    </row>
    <row r="616" spans="2:13" hidden="1">
      <c r="B616" s="14" t="s">
        <v>920</v>
      </c>
      <c r="C616" t="s">
        <v>917</v>
      </c>
      <c r="D616" s="14" t="s">
        <v>41</v>
      </c>
      <c r="E616" s="14" t="s">
        <v>23</v>
      </c>
      <c r="G616">
        <v>2</v>
      </c>
      <c r="H616" s="14">
        <v>4</v>
      </c>
      <c r="I616" s="16"/>
      <c r="J616" s="17">
        <v>46295</v>
      </c>
      <c r="K616" s="17"/>
      <c r="L616" s="14"/>
      <c r="M616" t="s">
        <v>454</v>
      </c>
    </row>
    <row r="617" spans="2:13" hidden="1">
      <c r="B617" s="14" t="s">
        <v>921</v>
      </c>
      <c r="C617" t="s">
        <v>917</v>
      </c>
      <c r="D617" s="14" t="s">
        <v>41</v>
      </c>
      <c r="E617" s="14" t="s">
        <v>23</v>
      </c>
      <c r="G617">
        <v>2</v>
      </c>
      <c r="H617" s="14">
        <v>3</v>
      </c>
      <c r="I617" s="16"/>
      <c r="J617" s="17">
        <v>46295</v>
      </c>
      <c r="K617" s="17"/>
      <c r="L617" s="14"/>
      <c r="M617" t="s">
        <v>454</v>
      </c>
    </row>
    <row r="618" spans="2:13" hidden="1">
      <c r="B618" s="14" t="s">
        <v>586</v>
      </c>
      <c r="C618" t="s">
        <v>917</v>
      </c>
      <c r="D618" s="14" t="s">
        <v>41</v>
      </c>
      <c r="E618" s="14" t="s">
        <v>23</v>
      </c>
      <c r="G618">
        <v>2</v>
      </c>
      <c r="H618" s="14">
        <v>3</v>
      </c>
      <c r="I618" s="16"/>
      <c r="J618" s="17">
        <v>46295</v>
      </c>
      <c r="K618" s="17"/>
      <c r="L618" s="14"/>
      <c r="M618" t="s">
        <v>454</v>
      </c>
    </row>
    <row r="619" spans="2:13" hidden="1">
      <c r="B619" s="14" t="s">
        <v>583</v>
      </c>
      <c r="C619" t="s">
        <v>917</v>
      </c>
      <c r="D619" s="14" t="s">
        <v>41</v>
      </c>
      <c r="E619" s="14" t="s">
        <v>23</v>
      </c>
      <c r="G619">
        <v>2</v>
      </c>
      <c r="H619" s="14">
        <v>3</v>
      </c>
      <c r="I619" s="16"/>
      <c r="J619" s="17">
        <v>46295</v>
      </c>
      <c r="K619" s="17"/>
      <c r="L619" s="14"/>
      <c r="M619" t="s">
        <v>454</v>
      </c>
    </row>
    <row r="620" spans="2:13" hidden="1">
      <c r="B620" s="14" t="s">
        <v>769</v>
      </c>
      <c r="C620" t="s">
        <v>917</v>
      </c>
      <c r="D620" s="14" t="s">
        <v>41</v>
      </c>
      <c r="E620" s="14" t="s">
        <v>23</v>
      </c>
      <c r="G620">
        <v>2</v>
      </c>
      <c r="H620" s="14">
        <v>3</v>
      </c>
      <c r="I620" s="16"/>
      <c r="J620" s="17">
        <v>46295</v>
      </c>
      <c r="K620" s="17"/>
      <c r="L620" s="14"/>
      <c r="M620" t="s">
        <v>454</v>
      </c>
    </row>
    <row r="621" spans="2:13" hidden="1">
      <c r="B621" s="14" t="s">
        <v>39</v>
      </c>
      <c r="C621" t="s">
        <v>922</v>
      </c>
      <c r="D621" s="14" t="s">
        <v>22</v>
      </c>
      <c r="E621" s="14" t="s">
        <v>23</v>
      </c>
      <c r="F621" t="s">
        <v>645</v>
      </c>
      <c r="G621">
        <v>1</v>
      </c>
      <c r="H621" s="14">
        <v>3</v>
      </c>
      <c r="I621" s="16"/>
      <c r="J621" s="17">
        <v>46296</v>
      </c>
      <c r="K621" s="17"/>
      <c r="L621" s="14"/>
      <c r="M621" t="s">
        <v>454</v>
      </c>
    </row>
    <row r="622" spans="2:13" hidden="1">
      <c r="B622" s="14" t="s">
        <v>39</v>
      </c>
      <c r="C622" t="s">
        <v>923</v>
      </c>
      <c r="D622" s="14" t="s">
        <v>22</v>
      </c>
      <c r="E622" s="14" t="s">
        <v>23</v>
      </c>
      <c r="F622" t="s">
        <v>645</v>
      </c>
      <c r="G622">
        <v>1</v>
      </c>
      <c r="H622" s="14">
        <v>2</v>
      </c>
      <c r="I622" s="16"/>
      <c r="J622" s="17">
        <v>46296</v>
      </c>
      <c r="K622" s="17"/>
      <c r="L622" s="14"/>
      <c r="M622" t="s">
        <v>454</v>
      </c>
    </row>
    <row r="623" spans="2:13" hidden="1">
      <c r="B623" s="14" t="s">
        <v>58</v>
      </c>
      <c r="C623" t="s">
        <v>924</v>
      </c>
      <c r="D623" s="14" t="s">
        <v>22</v>
      </c>
      <c r="E623" s="14" t="s">
        <v>453</v>
      </c>
      <c r="F623" t="s">
        <v>618</v>
      </c>
      <c r="G623">
        <v>1</v>
      </c>
      <c r="H623" s="14">
        <v>2</v>
      </c>
      <c r="I623" s="16"/>
      <c r="J623" s="17">
        <v>46296</v>
      </c>
      <c r="K623" s="17"/>
      <c r="L623" s="14"/>
      <c r="M623" t="s">
        <v>454</v>
      </c>
    </row>
    <row r="624" spans="2:13" hidden="1">
      <c r="B624" s="14" t="s">
        <v>12</v>
      </c>
      <c r="C624" t="s">
        <v>925</v>
      </c>
      <c r="D624" s="14" t="s">
        <v>22</v>
      </c>
      <c r="E624" s="14" t="s">
        <v>453</v>
      </c>
      <c r="F624" t="s">
        <v>681</v>
      </c>
      <c r="G624">
        <v>1</v>
      </c>
      <c r="H624" s="14">
        <v>0.5</v>
      </c>
      <c r="I624" s="16"/>
      <c r="J624" s="17">
        <v>46295</v>
      </c>
      <c r="K624" s="17"/>
      <c r="L624" s="14"/>
      <c r="M624" t="s">
        <v>454</v>
      </c>
    </row>
    <row r="625" spans="2:13" hidden="1">
      <c r="B625" s="14" t="s">
        <v>12</v>
      </c>
      <c r="C625" t="s">
        <v>926</v>
      </c>
      <c r="D625" s="14" t="s">
        <v>22</v>
      </c>
      <c r="E625" s="14" t="s">
        <v>453</v>
      </c>
      <c r="F625" t="s">
        <v>618</v>
      </c>
      <c r="G625">
        <v>1</v>
      </c>
      <c r="H625" s="14">
        <v>0.5</v>
      </c>
      <c r="I625" s="16"/>
      <c r="J625" s="17">
        <v>46295</v>
      </c>
      <c r="K625" s="17"/>
      <c r="L625" s="14"/>
      <c r="M625" t="s">
        <v>454</v>
      </c>
    </row>
    <row r="626" spans="2:13" hidden="1">
      <c r="B626" s="14" t="s">
        <v>92</v>
      </c>
      <c r="C626" t="s">
        <v>927</v>
      </c>
      <c r="D626" s="14" t="s">
        <v>22</v>
      </c>
      <c r="E626" s="14" t="s">
        <v>453</v>
      </c>
      <c r="F626" t="s">
        <v>681</v>
      </c>
      <c r="G626">
        <v>1</v>
      </c>
      <c r="H626" s="14">
        <v>2</v>
      </c>
      <c r="I626" s="16"/>
      <c r="J626" s="17">
        <v>46295</v>
      </c>
      <c r="K626" s="17"/>
      <c r="L626" s="14"/>
      <c r="M626" t="s">
        <v>454</v>
      </c>
    </row>
    <row r="627" spans="2:13" hidden="1">
      <c r="B627" s="14" t="s">
        <v>928</v>
      </c>
      <c r="C627" t="s">
        <v>929</v>
      </c>
      <c r="D627" s="14" t="s">
        <v>22</v>
      </c>
      <c r="E627" s="14" t="s">
        <v>453</v>
      </c>
      <c r="F627" t="s">
        <v>618</v>
      </c>
      <c r="G627">
        <v>1</v>
      </c>
      <c r="H627" s="14">
        <v>1</v>
      </c>
      <c r="I627" s="16"/>
      <c r="J627" s="17">
        <v>46295</v>
      </c>
      <c r="K627" s="17"/>
      <c r="L627" s="14"/>
      <c r="M627" t="s">
        <v>454</v>
      </c>
    </row>
    <row r="628" spans="2:13" hidden="1">
      <c r="B628" s="14" t="s">
        <v>583</v>
      </c>
      <c r="C628" t="s">
        <v>930</v>
      </c>
      <c r="D628" s="14" t="s">
        <v>22</v>
      </c>
      <c r="E628" s="14" t="s">
        <v>453</v>
      </c>
      <c r="F628" t="s">
        <v>618</v>
      </c>
      <c r="G628">
        <v>1</v>
      </c>
      <c r="H628" s="14">
        <v>1</v>
      </c>
      <c r="I628" s="16"/>
      <c r="J628" s="17">
        <v>46295</v>
      </c>
      <c r="K628" s="17"/>
      <c r="L628" s="14"/>
      <c r="M628" t="s">
        <v>454</v>
      </c>
    </row>
    <row r="629" spans="2:13" hidden="1">
      <c r="B629" s="14" t="s">
        <v>39</v>
      </c>
      <c r="C629" t="s">
        <v>931</v>
      </c>
      <c r="D629" s="14" t="s">
        <v>22</v>
      </c>
      <c r="E629" s="14" t="s">
        <v>125</v>
      </c>
      <c r="F629" t="s">
        <v>705</v>
      </c>
      <c r="G629">
        <v>1</v>
      </c>
      <c r="H629" s="14">
        <v>1</v>
      </c>
      <c r="I629" s="16"/>
      <c r="J629" s="17">
        <v>46295</v>
      </c>
      <c r="K629" s="17"/>
      <c r="L629" s="14"/>
      <c r="M629" t="s">
        <v>454</v>
      </c>
    </row>
    <row r="630" spans="2:13" hidden="1">
      <c r="B630" s="14" t="s">
        <v>411</v>
      </c>
      <c r="C630" t="s">
        <v>932</v>
      </c>
      <c r="D630" s="14" t="s">
        <v>41</v>
      </c>
      <c r="E630" s="14" t="s">
        <v>125</v>
      </c>
      <c r="F630" t="s">
        <v>705</v>
      </c>
      <c r="G630">
        <v>1</v>
      </c>
      <c r="H630" s="14">
        <v>1</v>
      </c>
      <c r="I630" s="16"/>
      <c r="J630" s="17">
        <v>46295</v>
      </c>
      <c r="K630" s="17"/>
      <c r="L630" s="14"/>
      <c r="M630" t="s">
        <v>454</v>
      </c>
    </row>
    <row r="631" spans="2:13" hidden="1">
      <c r="B631" s="14" t="s">
        <v>278</v>
      </c>
      <c r="C631" t="s">
        <v>932</v>
      </c>
      <c r="D631" s="14" t="s">
        <v>41</v>
      </c>
      <c r="E631" s="14" t="s">
        <v>125</v>
      </c>
      <c r="F631" t="s">
        <v>705</v>
      </c>
      <c r="G631">
        <v>1</v>
      </c>
      <c r="H631" s="14">
        <v>1</v>
      </c>
      <c r="I631" s="16"/>
      <c r="J631" s="17">
        <v>46295</v>
      </c>
      <c r="K631" s="17"/>
      <c r="L631" s="14"/>
      <c r="M631" t="s">
        <v>454</v>
      </c>
    </row>
    <row r="632" spans="2:13" hidden="1">
      <c r="B632" s="14" t="s">
        <v>58</v>
      </c>
      <c r="C632" t="s">
        <v>932</v>
      </c>
      <c r="D632" s="14" t="s">
        <v>41</v>
      </c>
      <c r="E632" s="14" t="s">
        <v>125</v>
      </c>
      <c r="F632" t="s">
        <v>620</v>
      </c>
      <c r="G632">
        <v>1</v>
      </c>
      <c r="H632" s="14">
        <v>1</v>
      </c>
      <c r="I632" s="16"/>
      <c r="J632" s="17">
        <v>46295</v>
      </c>
      <c r="K632" s="17"/>
      <c r="L632" s="14"/>
      <c r="M632" t="s">
        <v>454</v>
      </c>
    </row>
    <row r="633" spans="2:13" hidden="1">
      <c r="B633" s="14" t="s">
        <v>306</v>
      </c>
      <c r="C633" t="s">
        <v>932</v>
      </c>
      <c r="D633" s="14" t="s">
        <v>41</v>
      </c>
      <c r="E633" s="14" t="s">
        <v>125</v>
      </c>
      <c r="F633" t="s">
        <v>620</v>
      </c>
      <c r="G633">
        <v>1</v>
      </c>
      <c r="H633" s="14">
        <v>1</v>
      </c>
      <c r="I633" s="16"/>
      <c r="J633" s="17">
        <v>46295</v>
      </c>
      <c r="K633" s="17"/>
      <c r="L633" s="14"/>
      <c r="M633" t="s">
        <v>454</v>
      </c>
    </row>
    <row r="634" spans="2:13" hidden="1">
      <c r="B634" s="14" t="s">
        <v>349</v>
      </c>
      <c r="C634" t="s">
        <v>932</v>
      </c>
      <c r="D634" s="14" t="s">
        <v>41</v>
      </c>
      <c r="E634" s="14" t="s">
        <v>125</v>
      </c>
      <c r="F634" t="s">
        <v>626</v>
      </c>
      <c r="G634">
        <v>1</v>
      </c>
      <c r="H634" s="14">
        <v>4</v>
      </c>
      <c r="I634" s="16"/>
      <c r="J634" s="17">
        <v>46296</v>
      </c>
      <c r="K634" s="17"/>
      <c r="L634" s="14"/>
      <c r="M634" t="s">
        <v>454</v>
      </c>
    </row>
    <row r="635" spans="2:13" hidden="1">
      <c r="B635" s="14" t="s">
        <v>39</v>
      </c>
      <c r="C635" t="s">
        <v>932</v>
      </c>
      <c r="D635" s="14" t="s">
        <v>41</v>
      </c>
      <c r="E635" s="14" t="s">
        <v>125</v>
      </c>
      <c r="F635" t="s">
        <v>626</v>
      </c>
      <c r="G635">
        <v>1</v>
      </c>
      <c r="H635" s="14">
        <v>4</v>
      </c>
      <c r="I635" s="16"/>
      <c r="J635" s="17">
        <v>46296</v>
      </c>
      <c r="K635" s="17"/>
      <c r="L635" s="14"/>
      <c r="M635" t="s">
        <v>454</v>
      </c>
    </row>
    <row r="636" spans="2:13" hidden="1">
      <c r="B636" s="14" t="s">
        <v>12</v>
      </c>
      <c r="C636" t="s">
        <v>933</v>
      </c>
      <c r="D636" s="14" t="s">
        <v>22</v>
      </c>
      <c r="E636" s="14" t="s">
        <v>453</v>
      </c>
      <c r="F636" t="s">
        <v>934</v>
      </c>
      <c r="G636">
        <v>1</v>
      </c>
      <c r="H636" s="14">
        <v>11</v>
      </c>
      <c r="I636" s="16"/>
      <c r="J636" s="17">
        <v>46300</v>
      </c>
      <c r="K636" s="17"/>
      <c r="L636" s="14" t="s">
        <v>935</v>
      </c>
      <c r="M636" t="s">
        <v>389</v>
      </c>
    </row>
    <row r="637" spans="2:13" hidden="1">
      <c r="B637" s="14" t="s">
        <v>12</v>
      </c>
      <c r="C637" t="s">
        <v>936</v>
      </c>
      <c r="D637" s="14" t="s">
        <v>22</v>
      </c>
      <c r="E637" s="14" t="s">
        <v>453</v>
      </c>
      <c r="F637" t="s">
        <v>934</v>
      </c>
      <c r="G637">
        <v>1</v>
      </c>
      <c r="H637" s="14">
        <v>11</v>
      </c>
      <c r="I637" s="16"/>
      <c r="J637" s="17">
        <v>46300</v>
      </c>
      <c r="K637" s="17"/>
      <c r="L637" s="14" t="s">
        <v>937</v>
      </c>
      <c r="M637" t="s">
        <v>389</v>
      </c>
    </row>
    <row r="638" spans="2:13" hidden="1">
      <c r="B638" s="14" t="s">
        <v>600</v>
      </c>
      <c r="C638" t="s">
        <v>938</v>
      </c>
      <c r="D638" s="14" t="s">
        <v>22</v>
      </c>
      <c r="E638" s="14" t="s">
        <v>125</v>
      </c>
      <c r="F638" t="s">
        <v>620</v>
      </c>
      <c r="G638">
        <v>1</v>
      </c>
      <c r="H638" s="14">
        <f>11-2.5</f>
        <v>8.5</v>
      </c>
      <c r="I638" s="16"/>
      <c r="J638" s="17">
        <v>46296</v>
      </c>
      <c r="K638" s="17"/>
      <c r="L638" s="14"/>
      <c r="M638" t="s">
        <v>454</v>
      </c>
    </row>
    <row r="639" spans="2:13" hidden="1">
      <c r="B639" s="14" t="s">
        <v>939</v>
      </c>
      <c r="C639" t="s">
        <v>940</v>
      </c>
      <c r="D639" s="14" t="s">
        <v>41</v>
      </c>
      <c r="E639" s="14" t="s">
        <v>125</v>
      </c>
      <c r="F639" t="s">
        <v>705</v>
      </c>
      <c r="G639">
        <v>1</v>
      </c>
      <c r="H639" s="14">
        <v>4</v>
      </c>
      <c r="I639" s="16"/>
      <c r="J639" s="17">
        <v>46296</v>
      </c>
      <c r="K639" s="17"/>
      <c r="L639" s="14"/>
      <c r="M639" t="s">
        <v>454</v>
      </c>
    </row>
    <row r="640" spans="2:13" hidden="1">
      <c r="B640" s="14" t="s">
        <v>941</v>
      </c>
      <c r="C640" t="s">
        <v>942</v>
      </c>
      <c r="D640" s="14" t="s">
        <v>41</v>
      </c>
      <c r="E640" s="14" t="s">
        <v>125</v>
      </c>
      <c r="F640" t="s">
        <v>705</v>
      </c>
      <c r="G640">
        <v>1</v>
      </c>
      <c r="H640" s="14">
        <v>4</v>
      </c>
      <c r="I640" s="16"/>
      <c r="J640" s="17">
        <v>46296</v>
      </c>
      <c r="K640" s="17"/>
      <c r="L640" s="14"/>
    </row>
    <row r="641" spans="2:13" hidden="1">
      <c r="B641" s="14" t="s">
        <v>12</v>
      </c>
      <c r="C641" t="s">
        <v>943</v>
      </c>
      <c r="D641" s="14" t="s">
        <v>41</v>
      </c>
      <c r="E641" s="14" t="s">
        <v>125</v>
      </c>
      <c r="F641" t="s">
        <v>944</v>
      </c>
      <c r="G641">
        <v>2</v>
      </c>
      <c r="H641" s="14">
        <v>9</v>
      </c>
      <c r="I641" s="16"/>
      <c r="J641" s="17">
        <v>46300</v>
      </c>
      <c r="K641" s="17"/>
      <c r="L641" s="14" t="s">
        <v>945</v>
      </c>
      <c r="M641" t="s">
        <v>389</v>
      </c>
    </row>
    <row r="642" spans="2:13" hidden="1">
      <c r="B642" s="14" t="s">
        <v>39</v>
      </c>
      <c r="C642" t="s">
        <v>946</v>
      </c>
      <c r="D642" s="14" t="s">
        <v>41</v>
      </c>
      <c r="E642" s="14" t="s">
        <v>453</v>
      </c>
      <c r="F642" t="s">
        <v>688</v>
      </c>
      <c r="G642">
        <v>1</v>
      </c>
      <c r="H642" s="14">
        <v>3</v>
      </c>
      <c r="I642" s="16"/>
      <c r="J642" s="17">
        <v>46300</v>
      </c>
      <c r="K642" s="17"/>
      <c r="L642" s="14" t="s">
        <v>947</v>
      </c>
      <c r="M642" t="s">
        <v>389</v>
      </c>
    </row>
    <row r="643" spans="2:13" hidden="1">
      <c r="B643" s="14" t="s">
        <v>948</v>
      </c>
      <c r="C643" t="s">
        <v>949</v>
      </c>
      <c r="D643" s="14" t="s">
        <v>41</v>
      </c>
      <c r="E643" s="14" t="s">
        <v>453</v>
      </c>
      <c r="F643" t="s">
        <v>695</v>
      </c>
      <c r="G643">
        <v>1</v>
      </c>
      <c r="H643" s="14">
        <v>4</v>
      </c>
      <c r="I643" s="16"/>
      <c r="J643" s="17">
        <v>46300</v>
      </c>
      <c r="K643" s="17"/>
      <c r="L643" s="14" t="s">
        <v>950</v>
      </c>
      <c r="M643" t="s">
        <v>467</v>
      </c>
    </row>
    <row r="644" spans="2:13" hidden="1">
      <c r="B644" s="14" t="s">
        <v>411</v>
      </c>
      <c r="C644" t="s">
        <v>951</v>
      </c>
      <c r="D644" s="14" t="s">
        <v>41</v>
      </c>
      <c r="E644" s="14" t="s">
        <v>453</v>
      </c>
      <c r="F644" t="s">
        <v>695</v>
      </c>
      <c r="G644">
        <v>1</v>
      </c>
      <c r="H644" s="14">
        <v>2</v>
      </c>
      <c r="I644" s="16"/>
      <c r="J644" s="17">
        <v>46300</v>
      </c>
      <c r="K644" s="17"/>
      <c r="L644" s="14" t="s">
        <v>950</v>
      </c>
      <c r="M644" t="s">
        <v>467</v>
      </c>
    </row>
    <row r="645" spans="2:13" hidden="1">
      <c r="B645" s="14" t="s">
        <v>92</v>
      </c>
      <c r="C645" t="s">
        <v>952</v>
      </c>
      <c r="D645" s="14" t="s">
        <v>41</v>
      </c>
      <c r="E645" s="14" t="s">
        <v>453</v>
      </c>
      <c r="F645" t="s">
        <v>618</v>
      </c>
      <c r="G645">
        <v>1</v>
      </c>
      <c r="H645" s="14">
        <v>4</v>
      </c>
      <c r="I645" s="16"/>
      <c r="J645" s="17">
        <v>46300</v>
      </c>
      <c r="K645" s="17"/>
      <c r="L645" s="14"/>
      <c r="M645" t="s">
        <v>467</v>
      </c>
    </row>
    <row r="646" spans="2:13" hidden="1">
      <c r="B646" s="14" t="s">
        <v>577</v>
      </c>
      <c r="C646" t="s">
        <v>953</v>
      </c>
      <c r="D646" s="14" t="s">
        <v>22</v>
      </c>
      <c r="E646" s="14" t="s">
        <v>453</v>
      </c>
      <c r="F646" t="s">
        <v>618</v>
      </c>
      <c r="G646">
        <v>1</v>
      </c>
      <c r="H646" s="14">
        <v>3</v>
      </c>
      <c r="I646" s="16"/>
      <c r="J646" s="17">
        <v>46300</v>
      </c>
      <c r="K646" s="17"/>
      <c r="L646" s="14"/>
      <c r="M646" t="s">
        <v>467</v>
      </c>
    </row>
    <row r="647" spans="2:13" hidden="1">
      <c r="B647" s="14" t="s">
        <v>58</v>
      </c>
      <c r="C647" t="s">
        <v>954</v>
      </c>
      <c r="D647" s="14" t="s">
        <v>41</v>
      </c>
      <c r="E647" s="14" t="s">
        <v>453</v>
      </c>
      <c r="F647" t="s">
        <v>955</v>
      </c>
      <c r="G647">
        <v>1</v>
      </c>
      <c r="H647" s="14">
        <v>2</v>
      </c>
      <c r="I647" s="16"/>
      <c r="J647" s="17">
        <v>46303</v>
      </c>
      <c r="K647" s="17"/>
      <c r="L647" s="14"/>
      <c r="M647" t="s">
        <v>454</v>
      </c>
    </row>
    <row r="648" spans="2:13" hidden="1">
      <c r="B648" s="14" t="s">
        <v>306</v>
      </c>
      <c r="C648" t="s">
        <v>954</v>
      </c>
      <c r="D648" s="14" t="s">
        <v>41</v>
      </c>
      <c r="E648" s="14" t="s">
        <v>453</v>
      </c>
      <c r="F648" t="s">
        <v>955</v>
      </c>
      <c r="G648">
        <v>1</v>
      </c>
      <c r="H648" s="14">
        <v>2</v>
      </c>
      <c r="I648" s="16"/>
      <c r="J648" s="17">
        <v>46303</v>
      </c>
      <c r="K648" s="17"/>
      <c r="L648" s="14"/>
      <c r="M648" t="s">
        <v>454</v>
      </c>
    </row>
    <row r="649" spans="2:13" hidden="1">
      <c r="B649" s="14" t="s">
        <v>278</v>
      </c>
      <c r="C649" t="s">
        <v>956</v>
      </c>
      <c r="D649" s="14" t="s">
        <v>41</v>
      </c>
      <c r="E649" s="14" t="s">
        <v>125</v>
      </c>
      <c r="F649" t="s">
        <v>957</v>
      </c>
      <c r="G649">
        <v>1</v>
      </c>
      <c r="H649" s="14">
        <v>1</v>
      </c>
      <c r="I649" s="16"/>
      <c r="J649" s="17">
        <v>46307</v>
      </c>
      <c r="K649" s="17"/>
      <c r="L649" s="14"/>
      <c r="M649" t="s">
        <v>454</v>
      </c>
    </row>
    <row r="650" spans="2:13" hidden="1">
      <c r="B650" s="14" t="s">
        <v>411</v>
      </c>
      <c r="C650" t="s">
        <v>956</v>
      </c>
      <c r="D650" s="14" t="s">
        <v>41</v>
      </c>
      <c r="E650" s="14" t="s">
        <v>125</v>
      </c>
      <c r="F650" t="s">
        <v>957</v>
      </c>
      <c r="G650">
        <v>1</v>
      </c>
      <c r="H650" s="14">
        <v>1</v>
      </c>
      <c r="I650" s="16"/>
      <c r="J650" s="17">
        <v>46307</v>
      </c>
      <c r="K650" s="17"/>
      <c r="L650" s="14"/>
      <c r="M650" t="s">
        <v>454</v>
      </c>
    </row>
    <row r="651" spans="2:13" hidden="1">
      <c r="B651" s="14" t="s">
        <v>48</v>
      </c>
      <c r="C651" t="s">
        <v>958</v>
      </c>
      <c r="D651" s="14" t="s">
        <v>22</v>
      </c>
      <c r="E651" s="14" t="s">
        <v>125</v>
      </c>
      <c r="F651" t="s">
        <v>883</v>
      </c>
      <c r="G651">
        <v>1</v>
      </c>
      <c r="H651" s="14">
        <v>5</v>
      </c>
      <c r="I651" s="16"/>
      <c r="J651" s="17">
        <v>46303</v>
      </c>
      <c r="K651" s="17"/>
      <c r="L651" s="14"/>
      <c r="M651" t="s">
        <v>454</v>
      </c>
    </row>
    <row r="652" spans="2:13" hidden="1">
      <c r="B652" s="14" t="s">
        <v>39</v>
      </c>
      <c r="C652" t="s">
        <v>959</v>
      </c>
      <c r="D652" s="14" t="s">
        <v>41</v>
      </c>
      <c r="E652" s="14" t="s">
        <v>125</v>
      </c>
      <c r="F652" t="s">
        <v>960</v>
      </c>
      <c r="G652">
        <v>1</v>
      </c>
      <c r="H652" s="14">
        <v>5</v>
      </c>
      <c r="I652" s="16"/>
      <c r="J652" s="17">
        <v>46303</v>
      </c>
      <c r="K652" s="17"/>
      <c r="L652" s="14"/>
      <c r="M652" t="s">
        <v>454</v>
      </c>
    </row>
    <row r="653" spans="2:13" hidden="1">
      <c r="B653" s="14" t="s">
        <v>12</v>
      </c>
      <c r="C653" t="s">
        <v>961</v>
      </c>
      <c r="D653" s="14" t="s">
        <v>22</v>
      </c>
      <c r="E653" s="14" t="s">
        <v>453</v>
      </c>
      <c r="F653" t="s">
        <v>962</v>
      </c>
      <c r="G653">
        <v>1</v>
      </c>
      <c r="H653" s="14">
        <v>1</v>
      </c>
      <c r="I653" s="16"/>
      <c r="J653" s="17">
        <v>46303</v>
      </c>
      <c r="K653" s="17"/>
      <c r="L653" s="14"/>
      <c r="M653" t="s">
        <v>454</v>
      </c>
    </row>
    <row r="654" spans="2:13" hidden="1">
      <c r="B654" s="14" t="s">
        <v>963</v>
      </c>
      <c r="C654" t="s">
        <v>964</v>
      </c>
      <c r="D654" s="14" t="s">
        <v>22</v>
      </c>
      <c r="E654" s="14" t="s">
        <v>453</v>
      </c>
      <c r="F654" t="s">
        <v>965</v>
      </c>
      <c r="G654">
        <v>1</v>
      </c>
      <c r="H654" s="14"/>
      <c r="I654" s="16"/>
      <c r="J654" s="17"/>
      <c r="K654" s="17"/>
      <c r="L654" s="14"/>
    </row>
    <row r="655" spans="2:13" hidden="1">
      <c r="B655" s="14" t="s">
        <v>966</v>
      </c>
      <c r="C655" t="s">
        <v>967</v>
      </c>
      <c r="D655" s="14" t="s">
        <v>22</v>
      </c>
      <c r="E655" s="14" t="s">
        <v>453</v>
      </c>
      <c r="F655" t="s">
        <v>965</v>
      </c>
      <c r="G655">
        <v>1</v>
      </c>
      <c r="H655" s="14"/>
      <c r="I655" s="16"/>
      <c r="J655" s="17"/>
      <c r="K655" s="17"/>
      <c r="L655" s="14"/>
    </row>
    <row r="656" spans="2:13" hidden="1">
      <c r="B656" s="14" t="s">
        <v>968</v>
      </c>
      <c r="C656" t="s">
        <v>969</v>
      </c>
      <c r="D656" s="14" t="s">
        <v>22</v>
      </c>
      <c r="E656" s="14" t="s">
        <v>453</v>
      </c>
      <c r="F656" t="s">
        <v>965</v>
      </c>
      <c r="G656">
        <v>1</v>
      </c>
      <c r="H656" s="14"/>
      <c r="I656" s="16"/>
      <c r="J656" s="17"/>
      <c r="K656" s="17"/>
      <c r="L656" s="14"/>
    </row>
    <row r="657" spans="2:13" hidden="1">
      <c r="B657" s="14" t="s">
        <v>12</v>
      </c>
      <c r="C657" t="s">
        <v>970</v>
      </c>
      <c r="D657" s="14" t="s">
        <v>41</v>
      </c>
      <c r="E657" s="14" t="s">
        <v>453</v>
      </c>
      <c r="F657" t="s">
        <v>971</v>
      </c>
      <c r="G657">
        <v>2</v>
      </c>
      <c r="H657" s="14">
        <v>3</v>
      </c>
      <c r="I657" s="16"/>
      <c r="J657" s="17">
        <v>46307</v>
      </c>
      <c r="K657" s="17"/>
      <c r="L657" s="14"/>
      <c r="M657" t="s">
        <v>454</v>
      </c>
    </row>
    <row r="658" spans="2:13" hidden="1">
      <c r="B658" s="3" t="s">
        <v>12</v>
      </c>
      <c r="C658" t="s">
        <v>972</v>
      </c>
      <c r="D658" s="3" t="s">
        <v>41</v>
      </c>
      <c r="E658" s="3" t="s">
        <v>453</v>
      </c>
      <c r="F658" t="s">
        <v>955</v>
      </c>
      <c r="G658">
        <v>1</v>
      </c>
      <c r="H658" s="3">
        <v>1.5</v>
      </c>
      <c r="I658" s="6"/>
      <c r="J658" s="17">
        <v>46307</v>
      </c>
      <c r="K658" s="17"/>
      <c r="L658" s="3"/>
    </row>
    <row r="659" spans="2:13" hidden="1">
      <c r="B659" s="14" t="s">
        <v>92</v>
      </c>
      <c r="C659" t="s">
        <v>973</v>
      </c>
      <c r="D659" s="14" t="s">
        <v>41</v>
      </c>
      <c r="E659" s="14" t="s">
        <v>453</v>
      </c>
      <c r="F659" t="s">
        <v>974</v>
      </c>
      <c r="G659">
        <v>1</v>
      </c>
      <c r="H659" s="14">
        <v>5</v>
      </c>
      <c r="I659" s="16"/>
      <c r="J659" s="17">
        <v>46307</v>
      </c>
      <c r="K659" s="17"/>
      <c r="L659" s="14"/>
      <c r="M659" t="s">
        <v>454</v>
      </c>
    </row>
    <row r="660" spans="2:13" hidden="1">
      <c r="B660" s="14" t="s">
        <v>577</v>
      </c>
      <c r="C660" t="s">
        <v>975</v>
      </c>
      <c r="D660" s="14" t="s">
        <v>22</v>
      </c>
      <c r="E660" s="14" t="s">
        <v>453</v>
      </c>
      <c r="F660" t="s">
        <v>962</v>
      </c>
      <c r="G660">
        <v>1</v>
      </c>
      <c r="H660" s="14">
        <v>5</v>
      </c>
      <c r="I660" s="16"/>
      <c r="J660" s="17">
        <v>46307</v>
      </c>
      <c r="K660" s="17"/>
      <c r="L660" s="14"/>
      <c r="M660" t="s">
        <v>454</v>
      </c>
    </row>
    <row r="661" spans="2:13" hidden="1">
      <c r="B661" s="14" t="s">
        <v>12</v>
      </c>
      <c r="C661" t="s">
        <v>976</v>
      </c>
      <c r="D661" s="14" t="s">
        <v>22</v>
      </c>
      <c r="E661" s="14" t="s">
        <v>453</v>
      </c>
      <c r="F661" t="s">
        <v>977</v>
      </c>
      <c r="G661">
        <v>1</v>
      </c>
      <c r="H661" s="14">
        <v>3</v>
      </c>
      <c r="I661" s="16"/>
      <c r="J661" s="17">
        <v>46307</v>
      </c>
      <c r="K661" s="17"/>
      <c r="L661" s="14"/>
      <c r="M661" t="s">
        <v>454</v>
      </c>
    </row>
    <row r="662" spans="2:13" hidden="1">
      <c r="B662" s="14" t="s">
        <v>349</v>
      </c>
      <c r="C662" t="s">
        <v>978</v>
      </c>
      <c r="D662" s="14" t="s">
        <v>22</v>
      </c>
      <c r="E662" s="14" t="s">
        <v>125</v>
      </c>
      <c r="F662" t="s">
        <v>960</v>
      </c>
      <c r="G662">
        <v>1</v>
      </c>
      <c r="H662" s="14">
        <v>2</v>
      </c>
      <c r="I662" s="16"/>
      <c r="J662" s="17">
        <v>46307</v>
      </c>
      <c r="K662" s="17"/>
      <c r="L662" s="14"/>
      <c r="M662" t="s">
        <v>454</v>
      </c>
    </row>
    <row r="663" spans="2:13" hidden="1">
      <c r="B663" s="14" t="s">
        <v>825</v>
      </c>
      <c r="C663" t="s">
        <v>979</v>
      </c>
      <c r="D663" s="14" t="s">
        <v>41</v>
      </c>
      <c r="E663" s="14" t="s">
        <v>125</v>
      </c>
      <c r="F663" t="s">
        <v>957</v>
      </c>
      <c r="G663">
        <v>1</v>
      </c>
      <c r="H663" s="14">
        <v>2</v>
      </c>
      <c r="I663" s="16"/>
      <c r="J663" s="17">
        <v>46307</v>
      </c>
      <c r="K663" s="17"/>
      <c r="L663" s="14"/>
      <c r="M663" t="s">
        <v>454</v>
      </c>
    </row>
    <row r="664" spans="2:13" hidden="1">
      <c r="B664" s="14" t="s">
        <v>39</v>
      </c>
      <c r="C664" t="s">
        <v>980</v>
      </c>
      <c r="D664" s="14" t="s">
        <v>22</v>
      </c>
      <c r="E664" s="14" t="s">
        <v>125</v>
      </c>
      <c r="F664" t="s">
        <v>960</v>
      </c>
      <c r="G664">
        <v>1</v>
      </c>
      <c r="H664" s="14">
        <v>2</v>
      </c>
      <c r="I664" s="16"/>
      <c r="J664" s="17">
        <v>46307</v>
      </c>
      <c r="K664" s="17"/>
      <c r="L664" s="14"/>
    </row>
    <row r="665" spans="2:13" hidden="1">
      <c r="B665" s="3" t="s">
        <v>278</v>
      </c>
      <c r="C665" t="s">
        <v>802</v>
      </c>
      <c r="D665" s="3" t="s">
        <v>41</v>
      </c>
      <c r="E665" s="14" t="s">
        <v>125</v>
      </c>
      <c r="F665" t="s">
        <v>883</v>
      </c>
      <c r="G665">
        <v>1</v>
      </c>
      <c r="H665" s="14">
        <v>1.5</v>
      </c>
      <c r="I665" s="6"/>
      <c r="J665" s="17">
        <v>46307</v>
      </c>
      <c r="K665" s="17"/>
      <c r="L665" s="3"/>
    </row>
    <row r="666" spans="2:13" hidden="1">
      <c r="B666" s="3" t="s">
        <v>804</v>
      </c>
      <c r="C666" t="s">
        <v>802</v>
      </c>
      <c r="D666" s="3" t="s">
        <v>41</v>
      </c>
      <c r="E666" s="14" t="s">
        <v>125</v>
      </c>
      <c r="F666" t="s">
        <v>883</v>
      </c>
      <c r="G666">
        <v>1</v>
      </c>
      <c r="H666" s="14">
        <v>1.5</v>
      </c>
      <c r="I666" s="6"/>
      <c r="J666" s="17">
        <v>46307</v>
      </c>
      <c r="K666" s="69"/>
      <c r="L666" s="3"/>
    </row>
    <row r="667" spans="2:13" hidden="1">
      <c r="B667" s="3" t="s">
        <v>306</v>
      </c>
      <c r="C667" t="s">
        <v>802</v>
      </c>
      <c r="D667" s="3" t="s">
        <v>41</v>
      </c>
      <c r="E667" s="14" t="s">
        <v>125</v>
      </c>
      <c r="F667" t="s">
        <v>883</v>
      </c>
      <c r="G667">
        <v>1</v>
      </c>
      <c r="H667" s="14">
        <v>1.5</v>
      </c>
      <c r="I667" s="6"/>
      <c r="J667" s="17">
        <v>46307</v>
      </c>
      <c r="K667" s="69"/>
      <c r="L667" s="3"/>
    </row>
    <row r="668" spans="2:13" hidden="1">
      <c r="B668" s="14" t="s">
        <v>58</v>
      </c>
      <c r="C668" t="s">
        <v>802</v>
      </c>
      <c r="D668" s="14" t="s">
        <v>41</v>
      </c>
      <c r="E668" s="14" t="s">
        <v>125</v>
      </c>
      <c r="F668" t="s">
        <v>883</v>
      </c>
      <c r="G668">
        <v>1</v>
      </c>
      <c r="H668" s="14">
        <v>1.5</v>
      </c>
      <c r="I668" s="16"/>
      <c r="J668" s="17">
        <v>46307</v>
      </c>
      <c r="K668" s="69"/>
      <c r="L668" s="14"/>
    </row>
    <row r="669" spans="2:13" hidden="1">
      <c r="B669" s="14" t="s">
        <v>12</v>
      </c>
      <c r="C669" t="s">
        <v>981</v>
      </c>
      <c r="D669" s="14" t="s">
        <v>22</v>
      </c>
      <c r="E669" s="14" t="s">
        <v>453</v>
      </c>
      <c r="F669" t="s">
        <v>982</v>
      </c>
      <c r="G669">
        <v>1</v>
      </c>
      <c r="H669" s="14">
        <v>2</v>
      </c>
      <c r="I669" s="16"/>
      <c r="J669" s="17">
        <v>46307</v>
      </c>
      <c r="K669" s="17"/>
      <c r="L669" s="14"/>
    </row>
    <row r="670" spans="2:13" ht="15" hidden="1">
      <c r="B670" s="14" t="s">
        <v>12</v>
      </c>
      <c r="C670" t="s">
        <v>983</v>
      </c>
      <c r="D670" s="14" t="s">
        <v>22</v>
      </c>
      <c r="E670" s="14" t="s">
        <v>125</v>
      </c>
      <c r="F670" t="s">
        <v>883</v>
      </c>
      <c r="G670">
        <v>1</v>
      </c>
      <c r="H670" s="14">
        <v>2</v>
      </c>
      <c r="I670" s="16"/>
      <c r="J670" s="17">
        <v>46308</v>
      </c>
      <c r="K670" s="17"/>
      <c r="L670" s="14"/>
    </row>
    <row r="671" spans="2:13" ht="15" hidden="1">
      <c r="B671" s="14" t="s">
        <v>58</v>
      </c>
      <c r="C671" t="s">
        <v>984</v>
      </c>
      <c r="D671" s="14" t="s">
        <v>22</v>
      </c>
      <c r="E671" s="14" t="s">
        <v>453</v>
      </c>
      <c r="F671" t="s">
        <v>695</v>
      </c>
      <c r="G671">
        <v>1</v>
      </c>
      <c r="H671" s="14">
        <v>3</v>
      </c>
      <c r="I671" s="16"/>
      <c r="J671" s="17">
        <v>46308</v>
      </c>
      <c r="K671" s="17"/>
      <c r="L671" s="14"/>
      <c r="M671" t="s">
        <v>454</v>
      </c>
    </row>
    <row r="672" spans="2:13" ht="15" hidden="1">
      <c r="B672" s="14" t="s">
        <v>92</v>
      </c>
      <c r="C672" t="s">
        <v>985</v>
      </c>
      <c r="D672" s="14" t="s">
        <v>22</v>
      </c>
      <c r="E672" s="14" t="s">
        <v>125</v>
      </c>
      <c r="F672" t="s">
        <v>705</v>
      </c>
      <c r="G672">
        <v>1</v>
      </c>
      <c r="H672" s="14">
        <v>2</v>
      </c>
      <c r="I672" s="16"/>
      <c r="J672" s="17">
        <v>46308</v>
      </c>
      <c r="K672" s="17"/>
      <c r="L672" s="14"/>
      <c r="M672" t="s">
        <v>389</v>
      </c>
    </row>
    <row r="673" spans="2:13" ht="15" hidden="1">
      <c r="B673" s="14" t="s">
        <v>58</v>
      </c>
      <c r="C673" t="s">
        <v>986</v>
      </c>
      <c r="D673" s="14" t="s">
        <v>22</v>
      </c>
      <c r="E673" s="14" t="s">
        <v>453</v>
      </c>
      <c r="F673" t="s">
        <v>618</v>
      </c>
      <c r="G673">
        <v>1</v>
      </c>
      <c r="H673" s="14">
        <v>1</v>
      </c>
      <c r="I673" s="16"/>
      <c r="J673" s="17">
        <v>46308</v>
      </c>
      <c r="K673" s="17"/>
      <c r="L673" s="14"/>
      <c r="M673" t="s">
        <v>454</v>
      </c>
    </row>
    <row r="674" spans="2:13" ht="15" hidden="1">
      <c r="B674" s="14" t="s">
        <v>39</v>
      </c>
      <c r="C674" t="s">
        <v>987</v>
      </c>
      <c r="D674" s="14" t="s">
        <v>22</v>
      </c>
      <c r="E674" s="14" t="s">
        <v>125</v>
      </c>
      <c r="F674" t="s">
        <v>977</v>
      </c>
      <c r="G674">
        <v>2</v>
      </c>
      <c r="H674" s="14">
        <v>2</v>
      </c>
      <c r="I674" s="16"/>
      <c r="J674" s="17">
        <v>46308</v>
      </c>
      <c r="K674" s="17"/>
      <c r="L674" s="14"/>
      <c r="M674" t="s">
        <v>389</v>
      </c>
    </row>
    <row r="675" spans="2:13" ht="15" hidden="1">
      <c r="B675" s="14" t="s">
        <v>39</v>
      </c>
      <c r="C675" t="s">
        <v>988</v>
      </c>
      <c r="D675" s="14" t="s">
        <v>22</v>
      </c>
      <c r="E675" s="14" t="s">
        <v>125</v>
      </c>
      <c r="F675" t="s">
        <v>695</v>
      </c>
      <c r="G675">
        <v>2</v>
      </c>
      <c r="H675" s="14">
        <v>2</v>
      </c>
      <c r="I675" s="16"/>
      <c r="J675" s="17">
        <v>46308</v>
      </c>
      <c r="K675" s="17"/>
      <c r="L675" s="14"/>
      <c r="M675" t="s">
        <v>454</v>
      </c>
    </row>
    <row r="676" spans="2:13" ht="15" hidden="1">
      <c r="B676" s="14" t="s">
        <v>12</v>
      </c>
      <c r="C676" t="s">
        <v>989</v>
      </c>
      <c r="D676" s="14" t="s">
        <v>22</v>
      </c>
      <c r="E676" s="14" t="s">
        <v>453</v>
      </c>
      <c r="F676" t="s">
        <v>695</v>
      </c>
      <c r="G676">
        <v>2</v>
      </c>
      <c r="H676" s="14">
        <v>1</v>
      </c>
      <c r="I676" s="16"/>
      <c r="J676" s="17">
        <v>46309</v>
      </c>
      <c r="K676" s="17"/>
      <c r="L676" s="14"/>
      <c r="M676" t="s">
        <v>389</v>
      </c>
    </row>
    <row r="677" spans="2:13" ht="15" hidden="1">
      <c r="B677" s="14" t="s">
        <v>92</v>
      </c>
      <c r="C677" t="s">
        <v>990</v>
      </c>
      <c r="D677" s="14" t="s">
        <v>41</v>
      </c>
      <c r="E677" s="14" t="s">
        <v>125</v>
      </c>
      <c r="F677" t="s">
        <v>705</v>
      </c>
      <c r="G677">
        <v>2</v>
      </c>
      <c r="H677" s="14">
        <v>1</v>
      </c>
      <c r="I677" s="16"/>
      <c r="J677" s="17">
        <v>46309</v>
      </c>
      <c r="K677" s="17"/>
      <c r="L677" s="14"/>
      <c r="M677" t="s">
        <v>454</v>
      </c>
    </row>
    <row r="678" spans="2:13" ht="15" hidden="1">
      <c r="B678" s="14" t="s">
        <v>58</v>
      </c>
      <c r="C678" t="s">
        <v>991</v>
      </c>
      <c r="D678" s="14" t="s">
        <v>22</v>
      </c>
      <c r="E678" s="14" t="s">
        <v>453</v>
      </c>
      <c r="F678" t="s">
        <v>965</v>
      </c>
      <c r="G678">
        <v>1</v>
      </c>
      <c r="H678" s="14">
        <v>2</v>
      </c>
      <c r="I678" s="16"/>
      <c r="J678" s="17">
        <v>46309</v>
      </c>
      <c r="K678" s="17"/>
      <c r="L678" s="14"/>
      <c r="M678" t="s">
        <v>389</v>
      </c>
    </row>
    <row r="679" spans="2:13" ht="15" hidden="1">
      <c r="B679" s="14" t="s">
        <v>12</v>
      </c>
      <c r="C679" t="s">
        <v>992</v>
      </c>
      <c r="D679" s="14" t="s">
        <v>22</v>
      </c>
      <c r="E679" s="14" t="s">
        <v>453</v>
      </c>
      <c r="F679" t="s">
        <v>962</v>
      </c>
      <c r="G679">
        <v>1</v>
      </c>
      <c r="H679" s="14">
        <v>2</v>
      </c>
      <c r="I679" s="16"/>
      <c r="J679" s="17">
        <v>46309</v>
      </c>
      <c r="K679" s="17"/>
      <c r="L679" s="14"/>
      <c r="M679" t="s">
        <v>454</v>
      </c>
    </row>
    <row r="680" spans="2:13" ht="15" hidden="1">
      <c r="B680" s="14"/>
      <c r="D680" s="14"/>
      <c r="E680" s="14"/>
      <c r="H680" s="14"/>
      <c r="I680" s="16"/>
      <c r="J680" s="17"/>
      <c r="K680" s="17"/>
      <c r="L680" s="14"/>
    </row>
    <row r="681" spans="2:13" ht="15" hidden="1">
      <c r="B681" s="14" t="s">
        <v>58</v>
      </c>
      <c r="C681" t="s">
        <v>993</v>
      </c>
      <c r="D681" s="14"/>
      <c r="E681" s="14"/>
      <c r="H681" s="14"/>
      <c r="I681" s="16"/>
      <c r="J681" s="17"/>
      <c r="K681" s="17"/>
      <c r="L681" s="14"/>
    </row>
  </sheetData>
  <conditionalFormatting sqref="M1:M1048576">
    <cfRule type="containsText" dxfId="23" priority="5" operator="containsText" text="REPROGRAMAR">
      <formula>NOT(ISERROR(SEARCH("REPROGRAMAR",M1)))</formula>
    </cfRule>
    <cfRule type="containsText" dxfId="22" priority="6" operator="containsText" text="CERRADO">
      <formula>NOT(ISERROR(SEARCH("CERRADO",M1)))</formula>
    </cfRule>
    <cfRule type="containsText" dxfId="21" priority="7" operator="containsText" text="EN PROCESO">
      <formula>NOT(ISERROR(SEARCH("EN PROCESO",M1)))</formula>
    </cfRule>
    <cfRule type="containsText" dxfId="20" priority="8" operator="containsText" text="ABIERTO">
      <formula>NOT(ISERROR(SEARCH("ABIERTO",M1)))</formula>
    </cfRule>
  </conditionalFormatting>
  <conditionalFormatting sqref="M59:M108 M116:M206">
    <cfRule type="containsText" dxfId="19" priority="11" operator="containsText" text="Cerrado">
      <formula>NOT(ISERROR(SEARCH("Cerrado",M59)))</formula>
    </cfRule>
    <cfRule type="containsText" dxfId="18" priority="12" operator="containsText" text="Abierto">
      <formula>NOT(ISERROR(SEARCH("Abierto",M59)))</formula>
    </cfRule>
  </conditionalFormatting>
  <conditionalFormatting sqref="M214:M215">
    <cfRule type="containsText" dxfId="17" priority="9" operator="containsText" text="Cerrado">
      <formula>NOT(ISERROR(SEARCH("Cerrado",M214)))</formula>
    </cfRule>
    <cfRule type="containsText" dxfId="16" priority="10" operator="containsText" text="Abierto">
      <formula>NOT(ISERROR(SEARCH("Abierto",M214)))</formula>
    </cfRule>
  </conditionalFormatting>
  <conditionalFormatting sqref="M474:M477">
    <cfRule type="containsText" dxfId="15" priority="3" operator="containsText" text="Cerrado">
      <formula>NOT(ISERROR(SEARCH("Cerrado",M474)))</formula>
    </cfRule>
    <cfRule type="containsText" dxfId="14" priority="4" operator="containsText" text="Abierto">
      <formula>NOT(ISERROR(SEARCH("Abierto",M474)))</formula>
    </cfRule>
  </conditionalFormatting>
  <conditionalFormatting sqref="M486:M487">
    <cfRule type="containsText" dxfId="13" priority="1" operator="containsText" text="Cerrado">
      <formula>NOT(ISERROR(SEARCH("Cerrado",M486)))</formula>
    </cfRule>
    <cfRule type="containsText" dxfId="12" priority="2" operator="containsText" text="Abierto">
      <formula>NOT(ISERROR(SEARCH("Abierto",M486)))</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811C63D-24E1-4B00-A7C7-8B86365AF0F4}">
          <x14:formula1>
            <xm:f>Hoja1!$B$4:$B$16</xm:f>
          </x14:formula1>
          <xm:sqref>B85 B89:B94</xm:sqref>
        </x14:dataValidation>
        <x14:dataValidation type="list" allowBlank="1" showInputMessage="1" showErrorMessage="1" xr:uid="{1C2D1B09-1941-4E2A-8B2C-FDE2C5434274}">
          <x14:formula1>
            <xm:f>Hoja1!$D$4:$D$6</xm:f>
          </x14:formula1>
          <xm:sqref>E85 E89:E94</xm:sqref>
        </x14:dataValidation>
        <x14:dataValidation type="list" allowBlank="1" showInputMessage="1" showErrorMessage="1" xr:uid="{54410F57-E792-4431-B3E3-156B78CC1A69}">
          <x14:formula1>
            <xm:f>Hoja1!$F$4:$F$5</xm:f>
          </x14:formula1>
          <xm:sqref>M85 M89:M94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BA07-8B9D-4F6C-BB87-15B8552E4AFA}">
  <dimension ref="A2:J13"/>
  <sheetViews>
    <sheetView workbookViewId="0">
      <selection activeCell="G18" sqref="G18"/>
    </sheetView>
  </sheetViews>
  <sheetFormatPr defaultRowHeight="15"/>
  <cols>
    <col min="1" max="1" width="36.28515625" bestFit="1" customWidth="1"/>
    <col min="2" max="2" width="20.85546875" bestFit="1" customWidth="1"/>
    <col min="3" max="3" width="10.140625" bestFit="1" customWidth="1"/>
    <col min="5" max="5" width="11.28515625" bestFit="1" customWidth="1"/>
    <col min="6" max="6" width="9.5703125" bestFit="1" customWidth="1"/>
    <col min="7" max="7" width="11.28515625" bestFit="1" customWidth="1"/>
    <col min="8" max="8" width="9.5703125" bestFit="1" customWidth="1"/>
    <col min="9" max="9" width="11.28515625" bestFit="1" customWidth="1"/>
    <col min="10" max="10" width="9.5703125" bestFit="1" customWidth="1"/>
  </cols>
  <sheetData>
    <row r="2" spans="1:10">
      <c r="A2" s="73" t="s">
        <v>994</v>
      </c>
      <c r="B2" s="73"/>
      <c r="C2" s="74" t="s">
        <v>995</v>
      </c>
      <c r="D2" s="74"/>
      <c r="E2" s="74" t="s">
        <v>996</v>
      </c>
      <c r="F2" s="74"/>
      <c r="G2" s="74" t="s">
        <v>894</v>
      </c>
      <c r="H2" s="74"/>
      <c r="I2" s="74" t="s">
        <v>997</v>
      </c>
      <c r="J2" s="74"/>
    </row>
    <row r="3" spans="1:10">
      <c r="A3" t="s">
        <v>998</v>
      </c>
      <c r="B3" t="s">
        <v>999</v>
      </c>
      <c r="C3" t="s">
        <v>1000</v>
      </c>
      <c r="D3" t="s">
        <v>1001</v>
      </c>
      <c r="E3" t="s">
        <v>1002</v>
      </c>
      <c r="F3" t="s">
        <v>1003</v>
      </c>
      <c r="G3" t="s">
        <v>1004</v>
      </c>
      <c r="H3" t="s">
        <v>1005</v>
      </c>
      <c r="I3" t="s">
        <v>1006</v>
      </c>
      <c r="J3" t="s">
        <v>1007</v>
      </c>
    </row>
    <row r="4" spans="1:10">
      <c r="A4" t="s">
        <v>1008</v>
      </c>
      <c r="B4">
        <v>91.7</v>
      </c>
      <c r="C4">
        <v>6.4</v>
      </c>
      <c r="D4">
        <v>26</v>
      </c>
      <c r="E4">
        <v>3.28</v>
      </c>
      <c r="F4">
        <v>5</v>
      </c>
      <c r="G4">
        <v>4.4000000000000004</v>
      </c>
      <c r="H4">
        <v>20</v>
      </c>
    </row>
    <row r="5" spans="1:10">
      <c r="A5" t="s">
        <v>1009</v>
      </c>
      <c r="B5">
        <v>91.7</v>
      </c>
      <c r="C5">
        <v>0.7</v>
      </c>
      <c r="D5">
        <v>2</v>
      </c>
      <c r="G5">
        <v>4.25</v>
      </c>
      <c r="H5">
        <v>19</v>
      </c>
    </row>
    <row r="6" spans="1:10">
      <c r="A6" t="s">
        <v>1010</v>
      </c>
      <c r="B6">
        <v>91.7</v>
      </c>
      <c r="C6">
        <v>2.2999999999999998</v>
      </c>
      <c r="D6">
        <v>10</v>
      </c>
      <c r="E6">
        <v>2.93</v>
      </c>
      <c r="F6">
        <v>3</v>
      </c>
    </row>
    <row r="7" spans="1:10">
      <c r="A7" t="s">
        <v>1011</v>
      </c>
      <c r="B7">
        <v>91.7</v>
      </c>
      <c r="C7">
        <v>1.61</v>
      </c>
      <c r="D7">
        <v>4</v>
      </c>
    </row>
    <row r="8" spans="1:10">
      <c r="A8" t="s">
        <v>1012</v>
      </c>
      <c r="B8">
        <v>91.7</v>
      </c>
      <c r="C8">
        <v>0.25</v>
      </c>
      <c r="D8">
        <v>1</v>
      </c>
    </row>
    <row r="9" spans="1:10">
      <c r="A9" t="s">
        <v>1013</v>
      </c>
      <c r="B9">
        <v>91.7</v>
      </c>
      <c r="C9">
        <v>0.25</v>
      </c>
      <c r="D9">
        <v>1</v>
      </c>
    </row>
    <row r="10" spans="1:10">
      <c r="A10" t="s">
        <v>1014</v>
      </c>
      <c r="B10">
        <v>91.7</v>
      </c>
      <c r="C10">
        <v>1.28</v>
      </c>
      <c r="D10">
        <v>8</v>
      </c>
    </row>
    <row r="11" spans="1:10">
      <c r="A11" t="s">
        <v>1015</v>
      </c>
      <c r="B11">
        <v>91.7</v>
      </c>
      <c r="E11">
        <v>0.25</v>
      </c>
      <c r="F11">
        <v>1</v>
      </c>
    </row>
    <row r="12" spans="1:10">
      <c r="A12" t="s">
        <v>1016</v>
      </c>
      <c r="B12">
        <v>91.7</v>
      </c>
      <c r="G12">
        <v>0.15</v>
      </c>
      <c r="H12">
        <v>1</v>
      </c>
    </row>
    <row r="13" spans="1:10">
      <c r="A13" t="s">
        <v>1017</v>
      </c>
      <c r="B13">
        <v>91.7</v>
      </c>
      <c r="E13">
        <v>0.1</v>
      </c>
      <c r="F13">
        <v>1</v>
      </c>
    </row>
  </sheetData>
  <mergeCells count="4">
    <mergeCell ref="C2:D2"/>
    <mergeCell ref="E2:F2"/>
    <mergeCell ref="G2:H2"/>
    <mergeCell ref="I2:J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CF50-F49D-4A77-A7C8-BA428F86E902}">
  <dimension ref="B2:C6"/>
  <sheetViews>
    <sheetView tabSelected="1" workbookViewId="0">
      <selection activeCell="C4" sqref="C4"/>
    </sheetView>
  </sheetViews>
  <sheetFormatPr defaultRowHeight="15"/>
  <cols>
    <col min="2" max="2" width="20.140625" bestFit="1" customWidth="1"/>
  </cols>
  <sheetData>
    <row r="2" spans="2:3">
      <c r="B2" s="98" t="s">
        <v>1018</v>
      </c>
      <c r="C2" s="98" t="s">
        <v>1019</v>
      </c>
    </row>
    <row r="3" spans="2:3">
      <c r="B3" t="s">
        <v>1020</v>
      </c>
      <c r="C3">
        <v>91.7</v>
      </c>
    </row>
    <row r="4" spans="2:3">
      <c r="B4" t="s">
        <v>1021</v>
      </c>
      <c r="C4">
        <v>1</v>
      </c>
    </row>
    <row r="5" spans="2:3">
      <c r="B5" t="s">
        <v>1022</v>
      </c>
      <c r="C5">
        <v>12</v>
      </c>
    </row>
    <row r="6" spans="2:3">
      <c r="B6" t="s">
        <v>1023</v>
      </c>
      <c r="C6">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601AB-D2B6-49CE-9ABD-096033940234}">
  <sheetPr>
    <tabColor theme="9" tint="0.39997558519241921"/>
  </sheetPr>
  <dimension ref="A2:J20"/>
  <sheetViews>
    <sheetView workbookViewId="0">
      <selection activeCell="F22" sqref="F22"/>
    </sheetView>
  </sheetViews>
  <sheetFormatPr defaultColWidth="8.85546875" defaultRowHeight="14.45"/>
  <cols>
    <col min="1" max="1" width="18.85546875" bestFit="1" customWidth="1"/>
    <col min="2" max="2" width="15" hidden="1" customWidth="1"/>
    <col min="3" max="3" width="16.140625" hidden="1" customWidth="1"/>
    <col min="4" max="4" width="18.5703125" hidden="1" customWidth="1"/>
    <col min="5" max="5" width="15.7109375" bestFit="1" customWidth="1"/>
    <col min="6" max="6" width="16.42578125" bestFit="1" customWidth="1"/>
    <col min="7" max="9" width="0" hidden="1" customWidth="1"/>
    <col min="10" max="10" width="56.140625" bestFit="1" customWidth="1"/>
  </cols>
  <sheetData>
    <row r="2" spans="1:10">
      <c r="F2" t="s">
        <v>1024</v>
      </c>
      <c r="G2" t="s">
        <v>1025</v>
      </c>
      <c r="H2" t="s">
        <v>1026</v>
      </c>
    </row>
    <row r="3" spans="1:10">
      <c r="F3" t="s">
        <v>1027</v>
      </c>
      <c r="G3" t="s">
        <v>1028</v>
      </c>
      <c r="H3" t="s">
        <v>1028</v>
      </c>
    </row>
    <row r="4" spans="1:10">
      <c r="F4" t="s">
        <v>1027</v>
      </c>
      <c r="G4" t="s">
        <v>1028</v>
      </c>
      <c r="H4" t="s">
        <v>1028</v>
      </c>
    </row>
    <row r="5" spans="1:10">
      <c r="F5" t="s">
        <v>1029</v>
      </c>
      <c r="G5" t="s">
        <v>1028</v>
      </c>
      <c r="H5" t="s">
        <v>1028</v>
      </c>
    </row>
    <row r="6" spans="1:10">
      <c r="G6" t="s">
        <v>1028</v>
      </c>
      <c r="H6" t="s">
        <v>1028</v>
      </c>
    </row>
    <row r="7" spans="1:10">
      <c r="G7" t="s">
        <v>1028</v>
      </c>
      <c r="H7" t="s">
        <v>1028</v>
      </c>
    </row>
    <row r="8" spans="1:10">
      <c r="A8" s="27" t="s">
        <v>265</v>
      </c>
      <c r="D8" t="s">
        <v>1030</v>
      </c>
      <c r="E8" t="s">
        <v>1030</v>
      </c>
      <c r="F8" t="s">
        <v>1030</v>
      </c>
      <c r="G8" t="s">
        <v>1028</v>
      </c>
      <c r="H8" t="s">
        <v>1028</v>
      </c>
    </row>
    <row r="9" spans="1:10">
      <c r="A9" s="27" t="s">
        <v>194</v>
      </c>
      <c r="D9" t="s">
        <v>1030</v>
      </c>
      <c r="E9" t="s">
        <v>1030</v>
      </c>
      <c r="F9" t="s">
        <v>1030</v>
      </c>
      <c r="G9" t="s">
        <v>1028</v>
      </c>
      <c r="H9" t="s">
        <v>1028</v>
      </c>
    </row>
    <row r="10" spans="1:10">
      <c r="A10" t="s">
        <v>1031</v>
      </c>
      <c r="B10" t="s">
        <v>1032</v>
      </c>
      <c r="C10" t="s">
        <v>1032</v>
      </c>
      <c r="D10" t="s">
        <v>1032</v>
      </c>
      <c r="E10" t="s">
        <v>1032</v>
      </c>
      <c r="F10" t="s">
        <v>1032</v>
      </c>
      <c r="G10" t="s">
        <v>1028</v>
      </c>
      <c r="H10" t="s">
        <v>1028</v>
      </c>
    </row>
    <row r="11" spans="1:10">
      <c r="A11" t="s">
        <v>1033</v>
      </c>
      <c r="B11" t="s">
        <v>1034</v>
      </c>
      <c r="C11" t="s">
        <v>1035</v>
      </c>
      <c r="D11" t="s">
        <v>1035</v>
      </c>
      <c r="E11" t="s">
        <v>1035</v>
      </c>
      <c r="G11" t="s">
        <v>1028</v>
      </c>
      <c r="H11" t="s">
        <v>1028</v>
      </c>
    </row>
    <row r="12" spans="1:10">
      <c r="A12" t="s">
        <v>1036</v>
      </c>
      <c r="B12" t="s">
        <v>1037</v>
      </c>
      <c r="D12" t="s">
        <v>1030</v>
      </c>
      <c r="E12" t="s">
        <v>1038</v>
      </c>
      <c r="F12" t="s">
        <v>1030</v>
      </c>
      <c r="G12" t="s">
        <v>1028</v>
      </c>
      <c r="H12" t="s">
        <v>1028</v>
      </c>
    </row>
    <row r="15" spans="1:10">
      <c r="A15" s="61" t="s">
        <v>1039</v>
      </c>
      <c r="B15" s="61" t="s">
        <v>1040</v>
      </c>
      <c r="C15" s="61" t="s">
        <v>1041</v>
      </c>
      <c r="D15" s="61" t="s">
        <v>1042</v>
      </c>
      <c r="E15" s="61" t="s">
        <v>1043</v>
      </c>
      <c r="F15" s="61" t="s">
        <v>1044</v>
      </c>
      <c r="G15" s="61"/>
      <c r="H15" s="61"/>
      <c r="I15" s="61"/>
      <c r="J15" s="61" t="s">
        <v>1</v>
      </c>
    </row>
    <row r="16" spans="1:10">
      <c r="A16" s="62" t="s">
        <v>67</v>
      </c>
      <c r="B16" s="63" t="s">
        <v>1045</v>
      </c>
      <c r="C16" s="63" t="s">
        <v>1046</v>
      </c>
      <c r="D16" s="63" t="s">
        <v>1046</v>
      </c>
      <c r="E16" s="63" t="s">
        <v>1037</v>
      </c>
      <c r="F16" s="63" t="s">
        <v>1047</v>
      </c>
      <c r="G16" s="63"/>
      <c r="H16" s="63"/>
      <c r="I16" s="63"/>
      <c r="J16" s="63" t="s">
        <v>1048</v>
      </c>
    </row>
    <row r="17" spans="1:10">
      <c r="A17" s="62" t="s">
        <v>371</v>
      </c>
      <c r="B17" s="63" t="s">
        <v>1045</v>
      </c>
      <c r="C17" s="63" t="s">
        <v>1046</v>
      </c>
      <c r="D17" s="63" t="s">
        <v>1046</v>
      </c>
      <c r="E17" s="63" t="s">
        <v>1037</v>
      </c>
      <c r="F17" s="63" t="s">
        <v>616</v>
      </c>
      <c r="G17" s="63"/>
      <c r="H17" s="63"/>
      <c r="I17" s="63"/>
      <c r="J17" s="63" t="s">
        <v>1048</v>
      </c>
    </row>
    <row r="18" spans="1:10">
      <c r="A18" s="64" t="s">
        <v>24</v>
      </c>
      <c r="B18" s="63" t="s">
        <v>1045</v>
      </c>
      <c r="C18" s="63" t="s">
        <v>1046</v>
      </c>
      <c r="D18" s="63" t="s">
        <v>1046</v>
      </c>
      <c r="E18" s="63" t="s">
        <v>1049</v>
      </c>
      <c r="F18" s="63" t="s">
        <v>1050</v>
      </c>
      <c r="G18" s="63"/>
      <c r="H18" s="63"/>
      <c r="I18" s="63"/>
      <c r="J18" s="63" t="s">
        <v>1051</v>
      </c>
    </row>
    <row r="19" spans="1:10">
      <c r="A19" s="64" t="s">
        <v>1052</v>
      </c>
      <c r="B19" s="63" t="s">
        <v>1053</v>
      </c>
      <c r="C19" s="63" t="s">
        <v>1035</v>
      </c>
      <c r="D19" s="63" t="s">
        <v>1035</v>
      </c>
      <c r="E19" s="63" t="s">
        <v>1049</v>
      </c>
      <c r="F19" s="63" t="s">
        <v>1050</v>
      </c>
      <c r="G19" s="63"/>
      <c r="H19" s="63"/>
      <c r="I19" s="63"/>
      <c r="J19" s="63" t="s">
        <v>1051</v>
      </c>
    </row>
    <row r="20" spans="1:10">
      <c r="A20" s="64" t="s">
        <v>1054</v>
      </c>
      <c r="B20" s="63" t="s">
        <v>1053</v>
      </c>
      <c r="C20" s="63" t="s">
        <v>1035</v>
      </c>
      <c r="D20" s="63" t="s">
        <v>1035</v>
      </c>
      <c r="E20" s="63" t="s">
        <v>1049</v>
      </c>
      <c r="F20" s="63" t="s">
        <v>1050</v>
      </c>
      <c r="G20" s="63"/>
      <c r="H20" s="63"/>
      <c r="I20" s="63"/>
      <c r="J20" s="63" t="s">
        <v>1051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D55-3FBB-492F-B980-6744D22C932A}">
  <sheetPr>
    <tabColor rgb="FFF26363"/>
  </sheetPr>
  <dimension ref="A2:AB58"/>
  <sheetViews>
    <sheetView topLeftCell="I33" workbookViewId="0">
      <selection activeCell="AG19" sqref="AG19"/>
    </sheetView>
  </sheetViews>
  <sheetFormatPr defaultColWidth="9.140625" defaultRowHeight="14.45" outlineLevelCol="1"/>
  <cols>
    <col min="1" max="1" width="12.85546875" customWidth="1" outlineLevel="1"/>
    <col min="2" max="2" width="15.140625" customWidth="1" outlineLevel="1"/>
    <col min="3" max="4" width="12.85546875" customWidth="1" outlineLevel="1"/>
    <col min="5" max="5" width="17.42578125" customWidth="1" outlineLevel="1"/>
    <col min="6" max="6" width="12.85546875" customWidth="1" outlineLevel="1"/>
    <col min="7" max="7" width="10.85546875" customWidth="1" outlineLevel="1"/>
    <col min="8" max="8" width="12.85546875" customWidth="1" outlineLevel="1"/>
    <col min="9" max="9" width="2.28515625" style="22" bestFit="1" customWidth="1"/>
    <col min="10" max="27" width="7.140625" style="22" customWidth="1"/>
    <col min="28" max="28" width="2.28515625" style="22" customWidth="1"/>
  </cols>
  <sheetData>
    <row r="2" spans="1:27">
      <c r="D2" s="18" t="s">
        <v>11</v>
      </c>
      <c r="E2" t="s">
        <v>1055</v>
      </c>
    </row>
    <row r="3" spans="1:27">
      <c r="A3" s="18" t="s">
        <v>4</v>
      </c>
      <c r="B3" t="s">
        <v>1056</v>
      </c>
      <c r="D3" t="s">
        <v>25</v>
      </c>
      <c r="E3">
        <v>8</v>
      </c>
    </row>
    <row r="4" spans="1:27">
      <c r="A4" t="s">
        <v>883</v>
      </c>
      <c r="B4">
        <v>7.5</v>
      </c>
      <c r="D4" t="s">
        <v>1057</v>
      </c>
    </row>
    <row r="5" spans="1:27">
      <c r="A5" t="s">
        <v>955</v>
      </c>
      <c r="B5">
        <v>4.5</v>
      </c>
      <c r="D5" t="s">
        <v>1058</v>
      </c>
      <c r="E5">
        <v>8</v>
      </c>
    </row>
    <row r="6" spans="1:27">
      <c r="A6" t="s">
        <v>957</v>
      </c>
      <c r="B6">
        <v>4</v>
      </c>
    </row>
    <row r="7" spans="1:27">
      <c r="A7" t="s">
        <v>960</v>
      </c>
      <c r="B7">
        <v>4</v>
      </c>
    </row>
    <row r="8" spans="1:27">
      <c r="A8" t="s">
        <v>962</v>
      </c>
      <c r="B8">
        <v>5</v>
      </c>
    </row>
    <row r="9" spans="1:27">
      <c r="A9" t="s">
        <v>974</v>
      </c>
      <c r="B9">
        <v>5</v>
      </c>
      <c r="J9" s="80" t="s">
        <v>1059</v>
      </c>
      <c r="K9" s="80"/>
      <c r="L9" s="80"/>
      <c r="M9" s="80"/>
      <c r="N9" s="80"/>
      <c r="O9" s="80"/>
      <c r="P9" s="82" t="s">
        <v>1060</v>
      </c>
      <c r="Q9" s="82"/>
      <c r="R9" s="82"/>
      <c r="S9" s="82"/>
      <c r="T9" s="82"/>
      <c r="U9" s="82"/>
      <c r="V9" s="75" t="s">
        <v>1061</v>
      </c>
      <c r="W9" s="75"/>
      <c r="X9" s="75"/>
      <c r="Y9" s="75"/>
      <c r="Z9" s="75"/>
      <c r="AA9" s="75"/>
    </row>
    <row r="10" spans="1:27">
      <c r="A10" t="s">
        <v>977</v>
      </c>
      <c r="B10">
        <v>3</v>
      </c>
      <c r="J10" s="80"/>
      <c r="K10" s="80"/>
      <c r="L10" s="80"/>
      <c r="M10" s="80"/>
      <c r="N10" s="80"/>
      <c r="O10" s="80"/>
      <c r="P10" s="82"/>
      <c r="Q10" s="82"/>
      <c r="R10" s="82"/>
      <c r="S10" s="82"/>
      <c r="T10" s="82"/>
      <c r="U10" s="82"/>
      <c r="V10" s="75"/>
      <c r="W10" s="75"/>
      <c r="X10" s="75"/>
      <c r="Y10" s="75"/>
      <c r="Z10" s="75"/>
      <c r="AA10" s="75"/>
    </row>
    <row r="11" spans="1:27">
      <c r="A11" t="s">
        <v>1058</v>
      </c>
      <c r="B11">
        <v>33</v>
      </c>
      <c r="J11" s="81">
        <f>GETPIVOTDATA("Cuenta de Estatus",$D$2)</f>
        <v>8</v>
      </c>
      <c r="K11" s="81"/>
      <c r="L11" s="81"/>
      <c r="M11" s="81"/>
      <c r="N11" s="81"/>
      <c r="O11" s="81"/>
      <c r="P11" s="76" t="e">
        <f>GETPIVOTDATA("Cuenta de Estatus",$D$2,"Estatus","Cerrado")</f>
        <v>#REF!</v>
      </c>
      <c r="Q11" s="76"/>
      <c r="R11" s="76"/>
      <c r="S11" s="76"/>
      <c r="T11" s="76"/>
      <c r="U11" s="76"/>
      <c r="V11" s="77">
        <f>IFERROR(GETPIVOTDATA("Cuenta de Estatus",$D$2,"Estatus","Abierto"),0)+IFERROR(GETPIVOTDATA("Cuenta de Estatus",$D$2,"Estatus","En proceso"),0)</f>
        <v>8</v>
      </c>
      <c r="W11" s="77"/>
      <c r="X11" s="77"/>
      <c r="Y11" s="77"/>
      <c r="Z11" s="77"/>
      <c r="AA11" s="77"/>
    </row>
    <row r="12" spans="1:27">
      <c r="J12" s="81"/>
      <c r="K12" s="81"/>
      <c r="L12" s="81"/>
      <c r="M12" s="81"/>
      <c r="N12" s="81"/>
      <c r="O12" s="81"/>
      <c r="P12" s="76"/>
      <c r="Q12" s="76"/>
      <c r="R12" s="76"/>
      <c r="S12" s="76"/>
      <c r="T12" s="76"/>
      <c r="U12" s="76"/>
      <c r="V12" s="77"/>
      <c r="W12" s="77"/>
      <c r="X12" s="77"/>
      <c r="Y12" s="77"/>
      <c r="Z12" s="77"/>
      <c r="AA12" s="77"/>
    </row>
    <row r="13" spans="1:27">
      <c r="J13" s="81"/>
      <c r="K13" s="81"/>
      <c r="L13" s="81"/>
      <c r="M13" s="81"/>
      <c r="N13" s="81"/>
      <c r="O13" s="81"/>
      <c r="P13" s="76"/>
      <c r="Q13" s="76"/>
      <c r="R13" s="76"/>
      <c r="S13" s="76"/>
      <c r="T13" s="76"/>
      <c r="U13" s="76"/>
      <c r="V13" s="77"/>
      <c r="W13" s="77"/>
      <c r="X13" s="77"/>
      <c r="Y13" s="77"/>
      <c r="Z13" s="77"/>
      <c r="AA13" s="77"/>
    </row>
    <row r="14" spans="1:27">
      <c r="J14" s="81"/>
      <c r="K14" s="81"/>
      <c r="L14" s="81"/>
      <c r="M14" s="81"/>
      <c r="N14" s="81"/>
      <c r="O14" s="81"/>
      <c r="P14" s="76"/>
      <c r="Q14" s="76"/>
      <c r="R14" s="76"/>
      <c r="S14" s="76"/>
      <c r="T14" s="76"/>
      <c r="U14" s="76"/>
      <c r="V14" s="77"/>
      <c r="W14" s="77"/>
      <c r="X14" s="77"/>
      <c r="Y14" s="77"/>
      <c r="Z14" s="77"/>
      <c r="AA14" s="77"/>
    </row>
    <row r="15" spans="1:27">
      <c r="J15" s="81"/>
      <c r="K15" s="81"/>
      <c r="L15" s="81"/>
      <c r="M15" s="81"/>
      <c r="N15" s="81"/>
      <c r="O15" s="81"/>
      <c r="P15" s="76"/>
      <c r="Q15" s="76"/>
      <c r="R15" s="76"/>
      <c r="S15" s="76"/>
      <c r="T15" s="76"/>
      <c r="U15" s="76"/>
      <c r="V15" s="77"/>
      <c r="W15" s="77"/>
      <c r="X15" s="77"/>
      <c r="Y15" s="77"/>
      <c r="Z15" s="77"/>
      <c r="AA15" s="77"/>
    </row>
    <row r="16" spans="1:27">
      <c r="J16" s="81"/>
      <c r="K16" s="81"/>
      <c r="L16" s="81"/>
      <c r="M16" s="81"/>
      <c r="N16" s="81"/>
      <c r="O16" s="81"/>
      <c r="P16" s="76"/>
      <c r="Q16" s="76"/>
      <c r="R16" s="76"/>
      <c r="S16" s="76"/>
      <c r="T16" s="76"/>
      <c r="U16" s="76"/>
      <c r="V16" s="77"/>
      <c r="W16" s="77"/>
      <c r="X16" s="77"/>
      <c r="Y16" s="77"/>
      <c r="Z16" s="77"/>
      <c r="AA16" s="77"/>
    </row>
    <row r="17" spans="3:27">
      <c r="J17" s="81"/>
      <c r="K17" s="81"/>
      <c r="L17" s="81"/>
      <c r="M17" s="81"/>
      <c r="N17" s="81"/>
      <c r="O17" s="81"/>
      <c r="P17" s="76"/>
      <c r="Q17" s="76"/>
      <c r="R17" s="76"/>
      <c r="S17" s="76"/>
      <c r="T17" s="76"/>
      <c r="U17" s="76"/>
      <c r="V17" s="77"/>
      <c r="W17" s="77"/>
      <c r="X17" s="77"/>
      <c r="Y17" s="77"/>
      <c r="Z17" s="77"/>
      <c r="AA17" s="77"/>
    </row>
    <row r="18" spans="3:27">
      <c r="C18" s="18" t="s">
        <v>1055</v>
      </c>
      <c r="D18" s="18" t="s">
        <v>11</v>
      </c>
      <c r="I18"/>
      <c r="J18" s="81"/>
      <c r="K18" s="81"/>
      <c r="L18" s="81"/>
      <c r="M18" s="81"/>
      <c r="N18" s="81"/>
      <c r="O18" s="81"/>
      <c r="P18" s="76"/>
      <c r="Q18" s="76"/>
      <c r="R18" s="76"/>
      <c r="S18" s="76"/>
      <c r="T18" s="76"/>
      <c r="U18" s="76"/>
      <c r="V18" s="77"/>
      <c r="W18" s="77"/>
      <c r="X18" s="77"/>
      <c r="Y18" s="77"/>
      <c r="Z18" s="77"/>
      <c r="AA18" s="77"/>
    </row>
    <row r="19" spans="3:27">
      <c r="C19" s="18" t="s">
        <v>3</v>
      </c>
      <c r="D19" t="s">
        <v>25</v>
      </c>
      <c r="E19" t="s">
        <v>1057</v>
      </c>
      <c r="F19" t="s">
        <v>1058</v>
      </c>
      <c r="I19"/>
      <c r="J19" s="81"/>
      <c r="K19" s="81"/>
      <c r="L19" s="81"/>
      <c r="M19" s="81"/>
      <c r="N19" s="81"/>
      <c r="O19" s="81"/>
      <c r="P19" s="76"/>
      <c r="Q19" s="76"/>
      <c r="R19" s="76"/>
      <c r="S19" s="76"/>
      <c r="T19" s="76"/>
      <c r="U19" s="76"/>
      <c r="V19" s="77"/>
      <c r="W19" s="77"/>
      <c r="X19" s="77"/>
      <c r="Y19" s="77"/>
      <c r="Z19" s="77"/>
      <c r="AA19" s="77"/>
    </row>
    <row r="20" spans="3:27">
      <c r="C20" t="s">
        <v>125</v>
      </c>
      <c r="D20" s="21">
        <v>0.5</v>
      </c>
      <c r="E20" s="21">
        <v>0</v>
      </c>
      <c r="F20" s="21">
        <v>0.5</v>
      </c>
      <c r="I20"/>
    </row>
    <row r="21" spans="3:27">
      <c r="C21" t="s">
        <v>453</v>
      </c>
      <c r="D21" s="21">
        <v>0.5</v>
      </c>
      <c r="E21" s="21">
        <v>0</v>
      </c>
      <c r="F21" s="21">
        <v>0.5</v>
      </c>
      <c r="I21"/>
      <c r="J21" s="78" t="s">
        <v>1062</v>
      </c>
      <c r="K21" s="78"/>
      <c r="L21" s="78"/>
      <c r="M21" s="78"/>
      <c r="N21" s="78"/>
      <c r="O21" s="78"/>
    </row>
    <row r="22" spans="3:27">
      <c r="C22" t="s">
        <v>1058</v>
      </c>
      <c r="D22" s="21">
        <v>1</v>
      </c>
      <c r="E22" s="21">
        <v>0</v>
      </c>
      <c r="F22" s="21">
        <v>1</v>
      </c>
      <c r="I22"/>
      <c r="J22" s="78"/>
      <c r="K22" s="78"/>
      <c r="L22" s="78"/>
      <c r="M22" s="78"/>
      <c r="N22" s="78"/>
      <c r="O22" s="78"/>
    </row>
    <row r="23" spans="3:27">
      <c r="I23"/>
      <c r="J23" s="79" t="e">
        <f>IF(GETPIVOTDATA("Cuenta de Estatus",$D$2)&gt;0,GETPIVOTDATA("Cuenta de Estatus",$D$2,"Estatus","Cerrado")/GETPIVOTDATA("Cuenta de Estatus",$D$2),0)</f>
        <v>#REF!</v>
      </c>
      <c r="K23" s="79"/>
      <c r="L23" s="79"/>
      <c r="M23" s="79"/>
      <c r="N23" s="79"/>
      <c r="O23" s="79"/>
    </row>
    <row r="24" spans="3:27">
      <c r="I24"/>
      <c r="J24" s="79"/>
      <c r="K24" s="79"/>
      <c r="L24" s="79"/>
      <c r="M24" s="79"/>
      <c r="N24" s="79"/>
      <c r="O24" s="79"/>
    </row>
    <row r="25" spans="3:27">
      <c r="I25"/>
      <c r="J25" s="79"/>
      <c r="K25" s="79"/>
      <c r="L25" s="79"/>
      <c r="M25" s="79"/>
      <c r="N25" s="79"/>
      <c r="O25" s="79"/>
    </row>
    <row r="26" spans="3:27">
      <c r="I26"/>
      <c r="J26" s="79"/>
      <c r="K26" s="79"/>
      <c r="L26" s="79"/>
      <c r="M26" s="79"/>
      <c r="N26" s="79"/>
      <c r="O26" s="79"/>
    </row>
    <row r="27" spans="3:27">
      <c r="I27"/>
      <c r="J27" s="79"/>
      <c r="K27" s="79"/>
      <c r="L27" s="79"/>
      <c r="M27" s="79"/>
      <c r="N27" s="79"/>
      <c r="O27" s="79"/>
    </row>
    <row r="28" spans="3:27">
      <c r="I28"/>
      <c r="J28" s="79"/>
      <c r="K28" s="79"/>
      <c r="L28" s="79"/>
      <c r="M28" s="79"/>
      <c r="N28" s="79"/>
      <c r="O28" s="79"/>
    </row>
    <row r="29" spans="3:27">
      <c r="I29"/>
      <c r="J29" s="79"/>
      <c r="K29" s="79"/>
      <c r="L29" s="79"/>
      <c r="M29" s="79"/>
      <c r="N29" s="79"/>
      <c r="O29" s="79"/>
    </row>
    <row r="30" spans="3:27">
      <c r="D30" s="21">
        <f>E20</f>
        <v>0</v>
      </c>
      <c r="J30" s="79"/>
      <c r="K30" s="79"/>
      <c r="L30" s="79"/>
      <c r="M30" s="79"/>
      <c r="N30" s="79"/>
      <c r="O30" s="79"/>
    </row>
    <row r="31" spans="3:27">
      <c r="D31" s="21">
        <f>E21</f>
        <v>0</v>
      </c>
      <c r="J31" s="79"/>
      <c r="K31" s="79"/>
      <c r="L31" s="79"/>
      <c r="M31" s="79"/>
      <c r="N31" s="79"/>
      <c r="O31" s="79"/>
    </row>
    <row r="32" spans="3:27">
      <c r="D32" s="21">
        <f>E22</f>
        <v>0</v>
      </c>
    </row>
    <row r="37" spans="1:4">
      <c r="A37" s="18" t="s">
        <v>1055</v>
      </c>
      <c r="B37" s="18" t="s">
        <v>11</v>
      </c>
    </row>
    <row r="38" spans="1:4">
      <c r="A38" s="18" t="s">
        <v>0</v>
      </c>
      <c r="B38" t="s">
        <v>25</v>
      </c>
      <c r="C38" t="s">
        <v>1057</v>
      </c>
      <c r="D38" t="s">
        <v>1058</v>
      </c>
    </row>
    <row r="39" spans="1:4">
      <c r="A39" t="s">
        <v>306</v>
      </c>
    </row>
    <row r="40" spans="1:4">
      <c r="A40" t="s">
        <v>411</v>
      </c>
      <c r="B40">
        <v>1</v>
      </c>
      <c r="D40">
        <v>1</v>
      </c>
    </row>
    <row r="41" spans="1:4">
      <c r="A41" t="s">
        <v>58</v>
      </c>
    </row>
    <row r="42" spans="1:4">
      <c r="A42" t="s">
        <v>349</v>
      </c>
      <c r="B42">
        <v>1</v>
      </c>
      <c r="D42">
        <v>1</v>
      </c>
    </row>
    <row r="43" spans="1:4">
      <c r="A43" t="s">
        <v>12</v>
      </c>
      <c r="B43">
        <v>2</v>
      </c>
      <c r="D43">
        <v>2</v>
      </c>
    </row>
    <row r="44" spans="1:4">
      <c r="A44" t="s">
        <v>39</v>
      </c>
    </row>
    <row r="45" spans="1:4">
      <c r="A45" t="s">
        <v>278</v>
      </c>
      <c r="B45">
        <v>1</v>
      </c>
      <c r="D45">
        <v>1</v>
      </c>
    </row>
    <row r="46" spans="1:4">
      <c r="A46" t="s">
        <v>92</v>
      </c>
      <c r="B46">
        <v>1</v>
      </c>
      <c r="D46">
        <v>1</v>
      </c>
    </row>
    <row r="47" spans="1:4">
      <c r="A47" t="s">
        <v>577</v>
      </c>
      <c r="B47">
        <v>1</v>
      </c>
      <c r="D47">
        <v>1</v>
      </c>
    </row>
    <row r="48" spans="1:4">
      <c r="A48" t="s">
        <v>804</v>
      </c>
    </row>
    <row r="49" spans="1:4">
      <c r="A49" t="s">
        <v>825</v>
      </c>
      <c r="B49">
        <v>1</v>
      </c>
      <c r="D49">
        <v>1</v>
      </c>
    </row>
    <row r="50" spans="1:4">
      <c r="A50" t="s">
        <v>1058</v>
      </c>
      <c r="B50">
        <v>8</v>
      </c>
      <c r="D50">
        <v>8</v>
      </c>
    </row>
    <row r="52" spans="1:4">
      <c r="A52" s="18" t="s">
        <v>2</v>
      </c>
      <c r="B52" t="s">
        <v>1063</v>
      </c>
    </row>
    <row r="53" spans="1:4">
      <c r="A53" t="s">
        <v>22</v>
      </c>
      <c r="B53" s="21">
        <v>0.39583333333333331</v>
      </c>
    </row>
    <row r="54" spans="1:4">
      <c r="A54" t="s">
        <v>199</v>
      </c>
      <c r="B54" s="21">
        <v>1.0416666666666666E-2</v>
      </c>
    </row>
    <row r="55" spans="1:4">
      <c r="A55" t="s">
        <v>36</v>
      </c>
      <c r="B55" s="21">
        <v>1.0416666666666666E-2</v>
      </c>
    </row>
    <row r="56" spans="1:4">
      <c r="A56" t="s">
        <v>41</v>
      </c>
      <c r="B56" s="21">
        <v>0.58333333333333337</v>
      </c>
    </row>
    <row r="57" spans="1:4">
      <c r="A57" t="s">
        <v>1057</v>
      </c>
      <c r="B57" s="21">
        <v>0</v>
      </c>
    </row>
    <row r="58" spans="1:4">
      <c r="A58" t="s">
        <v>1058</v>
      </c>
      <c r="B58" s="21">
        <v>1</v>
      </c>
    </row>
  </sheetData>
  <mergeCells count="8">
    <mergeCell ref="V9:AA10"/>
    <mergeCell ref="P11:U19"/>
    <mergeCell ref="V11:AA19"/>
    <mergeCell ref="J21:O22"/>
    <mergeCell ref="J23:O31"/>
    <mergeCell ref="J9:O10"/>
    <mergeCell ref="J11:O19"/>
    <mergeCell ref="P9:U10"/>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AB05-0A2F-4E8B-A570-667557CCFE44}">
  <dimension ref="B3:B9"/>
  <sheetViews>
    <sheetView workbookViewId="0">
      <selection activeCell="F16" sqref="F16"/>
    </sheetView>
  </sheetViews>
  <sheetFormatPr defaultColWidth="8.85546875" defaultRowHeight="14.45"/>
  <cols>
    <col min="2" max="2" width="110.42578125" bestFit="1" customWidth="1"/>
  </cols>
  <sheetData>
    <row r="3" spans="2:2">
      <c r="B3" t="s">
        <v>1064</v>
      </c>
    </row>
    <row r="4" spans="2:2">
      <c r="B4" t="s">
        <v>1065</v>
      </c>
    </row>
    <row r="5" spans="2:2">
      <c r="B5" t="s">
        <v>1066</v>
      </c>
    </row>
    <row r="6" spans="2:2">
      <c r="B6" t="s">
        <v>1067</v>
      </c>
    </row>
    <row r="7" spans="2:2">
      <c r="B7" t="s">
        <v>1068</v>
      </c>
    </row>
    <row r="8" spans="2:2">
      <c r="B8" t="s">
        <v>1069</v>
      </c>
    </row>
    <row r="9" spans="2:2">
      <c r="B9" t="s">
        <v>1070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AF1B-11EA-4D59-9C43-FE127BC51520}">
  <dimension ref="B3:I16"/>
  <sheetViews>
    <sheetView workbookViewId="0">
      <selection activeCell="I6" sqref="I6"/>
    </sheetView>
  </sheetViews>
  <sheetFormatPr defaultColWidth="8.85546875" defaultRowHeight="14.45"/>
  <cols>
    <col min="2" max="2" width="20.140625" bestFit="1" customWidth="1"/>
    <col min="4" max="4" width="13" bestFit="1" customWidth="1"/>
    <col min="6" max="6" width="9.85546875" bestFit="1" customWidth="1"/>
    <col min="9" max="9" width="11" bestFit="1" customWidth="1"/>
  </cols>
  <sheetData>
    <row r="3" spans="2:9">
      <c r="B3" t="s">
        <v>1071</v>
      </c>
      <c r="D3" t="s">
        <v>1072</v>
      </c>
      <c r="F3" t="s">
        <v>11</v>
      </c>
    </row>
    <row r="4" spans="2:9">
      <c r="B4" t="s">
        <v>53</v>
      </c>
      <c r="D4" t="s">
        <v>125</v>
      </c>
      <c r="F4" t="s">
        <v>25</v>
      </c>
      <c r="H4" t="s">
        <v>1073</v>
      </c>
      <c r="I4">
        <v>1.66</v>
      </c>
    </row>
    <row r="5" spans="2:9">
      <c r="B5" t="s">
        <v>82</v>
      </c>
      <c r="D5" t="s">
        <v>14</v>
      </c>
      <c r="F5" t="s">
        <v>16</v>
      </c>
    </row>
    <row r="6" spans="2:9">
      <c r="B6" t="s">
        <v>18</v>
      </c>
      <c r="D6" t="s">
        <v>23</v>
      </c>
      <c r="H6" t="s">
        <v>1074</v>
      </c>
      <c r="I6" s="24">
        <f>(EXP(-(1/I4)*24))*100</f>
        <v>5.2607011989869112E-5</v>
      </c>
    </row>
    <row r="7" spans="2:9">
      <c r="B7" t="s">
        <v>12</v>
      </c>
    </row>
    <row r="8" spans="2:9">
      <c r="B8" t="s">
        <v>48</v>
      </c>
    </row>
    <row r="9" spans="2:9">
      <c r="B9" t="s">
        <v>86</v>
      </c>
    </row>
    <row r="10" spans="2:9">
      <c r="B10" t="s">
        <v>39</v>
      </c>
    </row>
    <row r="11" spans="2:9">
      <c r="B11" t="s">
        <v>92</v>
      </c>
    </row>
    <row r="12" spans="2:9">
      <c r="B12" t="s">
        <v>103</v>
      </c>
    </row>
    <row r="13" spans="2:9">
      <c r="B13" t="s">
        <v>105</v>
      </c>
    </row>
    <row r="14" spans="2:9">
      <c r="B14" t="s">
        <v>58</v>
      </c>
    </row>
    <row r="15" spans="2:9">
      <c r="B15" t="s">
        <v>64</v>
      </c>
    </row>
    <row r="16" spans="2:9">
      <c r="B16" t="s">
        <v>30</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0D58-D48F-48C1-9CB4-BB3F9C4789F5}">
  <dimension ref="B2:K30"/>
  <sheetViews>
    <sheetView topLeftCell="A8" workbookViewId="0">
      <selection activeCell="H8" sqref="H8:J8"/>
    </sheetView>
  </sheetViews>
  <sheetFormatPr defaultColWidth="8.85546875" defaultRowHeight="14.45"/>
  <cols>
    <col min="1" max="1" width="3.85546875" customWidth="1"/>
    <col min="2" max="2" width="24.7109375" customWidth="1"/>
    <col min="3" max="4" width="17.140625" customWidth="1"/>
    <col min="5" max="5" width="19" customWidth="1"/>
    <col min="6" max="7" width="15.28515625" customWidth="1"/>
    <col min="8" max="8" width="28.5703125" customWidth="1"/>
    <col min="9" max="11" width="15.28515625" customWidth="1"/>
  </cols>
  <sheetData>
    <row r="2" spans="2:11" ht="45" customHeight="1">
      <c r="B2" s="86" t="s">
        <v>1075</v>
      </c>
      <c r="C2" s="86"/>
      <c r="D2" s="86"/>
      <c r="E2" s="86"/>
      <c r="F2" s="86"/>
      <c r="G2" s="86"/>
      <c r="H2" s="86"/>
      <c r="I2" s="86"/>
      <c r="J2" s="86"/>
      <c r="K2" s="86"/>
    </row>
    <row r="3" spans="2:11" ht="15.6">
      <c r="B3" s="87" t="s">
        <v>1076</v>
      </c>
      <c r="C3" s="87"/>
      <c r="D3" s="87"/>
      <c r="E3" s="87"/>
      <c r="F3" s="87"/>
      <c r="G3" s="87"/>
      <c r="H3" s="87"/>
      <c r="I3" s="87"/>
      <c r="J3" s="87"/>
      <c r="K3" s="87"/>
    </row>
    <row r="5" spans="2:11" ht="18">
      <c r="B5" s="88" t="s">
        <v>1077</v>
      </c>
      <c r="C5" s="88"/>
      <c r="D5" s="88"/>
      <c r="E5" s="88"/>
      <c r="F5" s="88"/>
      <c r="G5" s="88"/>
      <c r="H5" s="88"/>
      <c r="I5" s="88"/>
      <c r="J5" s="88"/>
      <c r="K5" s="88"/>
    </row>
    <row r="7" spans="2:11">
      <c r="B7" s="89" t="s">
        <v>1078</v>
      </c>
      <c r="C7" s="89"/>
      <c r="D7" s="89"/>
      <c r="E7" s="91" t="s">
        <v>1079</v>
      </c>
      <c r="F7" s="91"/>
      <c r="G7" s="91"/>
      <c r="H7" s="93" t="s">
        <v>1080</v>
      </c>
      <c r="I7" s="93"/>
      <c r="J7" s="93"/>
    </row>
    <row r="8" spans="2:11" ht="50.25" customHeight="1">
      <c r="B8" s="90">
        <f>ROWS(Tabla1[Estatus])</f>
        <v>678</v>
      </c>
      <c r="C8" s="90"/>
      <c r="D8" s="90"/>
      <c r="E8" s="92" cm="1">
        <f t="array" ref="E8">SUMPRODUCT((UPPER(Tabla1[Estatus])="CERRADO")*1)</f>
        <v>356</v>
      </c>
      <c r="F8" s="92"/>
      <c r="G8" s="92"/>
      <c r="H8" s="94" cm="1">
        <f t="array" ref="H8">ROWS(Tabla1[Estatus])-SUMPRODUCT((UPPER(Tabla1[Estatus])="CERRADO")*1)</f>
        <v>322</v>
      </c>
      <c r="I8" s="94"/>
      <c r="J8" s="94"/>
    </row>
    <row r="10" spans="2:11" ht="15.6">
      <c r="B10" s="95" t="s">
        <v>1081</v>
      </c>
      <c r="C10" s="95"/>
      <c r="D10" s="95"/>
      <c r="E10" s="97" t="s">
        <v>1082</v>
      </c>
      <c r="F10" s="97"/>
      <c r="G10" s="97"/>
      <c r="H10" s="97"/>
      <c r="I10" s="97"/>
      <c r="J10" s="97"/>
    </row>
    <row r="11" spans="2:11" ht="54.75" customHeight="1">
      <c r="B11" s="96" cm="1">
        <f t="array" ref="B11">SUMPRODUCT((UPPER(Tabla1[Estatus])="CERRADO")*1)/ROWS(Tabla1[Estatus])</f>
        <v>0.52507374631268433</v>
      </c>
      <c r="C11" s="96"/>
      <c r="D11" s="96"/>
      <c r="E11" s="32" t="s">
        <v>11</v>
      </c>
      <c r="F11" s="32" t="s">
        <v>1083</v>
      </c>
      <c r="G11" s="32" t="s">
        <v>1084</v>
      </c>
      <c r="H11" s="32" t="s">
        <v>1085</v>
      </c>
    </row>
    <row r="12" spans="2:11" ht="54.75" customHeight="1">
      <c r="B12" s="96"/>
      <c r="C12" s="96"/>
      <c r="D12" s="96"/>
      <c r="E12" s="33" t="s">
        <v>1086</v>
      </c>
      <c r="F12" s="33" cm="1">
        <f t="array" ref="F12">SUMPRODUCT((UPPER(Tabla1[Estatus])="CERRADO")*1)</f>
        <v>356</v>
      </c>
      <c r="G12" s="34">
        <f>F12/ROWS(Tabla1[Estatus])</f>
        <v>0.52507374631268433</v>
      </c>
      <c r="H12" s="35" t="str">
        <f>REPT("█",ROUND(G12*20,0))</f>
        <v>███████████</v>
      </c>
    </row>
    <row r="13" spans="2:11">
      <c r="E13" s="33" t="s">
        <v>1087</v>
      </c>
      <c r="F13" s="33" cm="1">
        <f t="array" ref="F13">SUMPRODUCT((UPPER(Tabla1[Estatus])="ABIERTO")*1)</f>
        <v>215</v>
      </c>
      <c r="G13" s="34">
        <f>F13/ROWS(Tabla1[Estatus])</f>
        <v>0.31710914454277284</v>
      </c>
      <c r="H13" s="36" t="str">
        <f>REPT("█",ROUND(G13*20,0))</f>
        <v>██████</v>
      </c>
    </row>
    <row r="14" spans="2:11">
      <c r="E14" s="33" t="s">
        <v>1088</v>
      </c>
      <c r="F14" s="33" cm="1">
        <f t="array" ref="F14">SUMPRODUCT((UPPER(Tabla1[Estatus])="EN PROCESO")*1)</f>
        <v>5</v>
      </c>
      <c r="G14" s="34">
        <f>F14/ROWS(Tabla1[Estatus])</f>
        <v>7.3746312684365781E-3</v>
      </c>
      <c r="H14" s="37" t="str">
        <f>REPT("█",ROUND(G14*20,0))</f>
        <v/>
      </c>
    </row>
    <row r="15" spans="2:11">
      <c r="E15" s="33" t="s">
        <v>1089</v>
      </c>
      <c r="F15" s="33">
        <f>COUNTBLANK(Tabla1[Estatus])</f>
        <v>65</v>
      </c>
      <c r="G15" s="34">
        <f>F15/ROWS(Tabla1[Estatus])</f>
        <v>9.5870206489675522E-2</v>
      </c>
      <c r="H15" s="47" t="str">
        <f>REPT("█",ROUND(G15*20,0))</f>
        <v>██</v>
      </c>
    </row>
    <row r="16" spans="2:11">
      <c r="E16" s="38" t="s">
        <v>1090</v>
      </c>
      <c r="F16" s="38">
        <f>SUM(F12:F15)</f>
        <v>641</v>
      </c>
      <c r="G16" s="39">
        <f>SUM(G12:G15)</f>
        <v>0.94542772861356927</v>
      </c>
      <c r="H16" s="33"/>
    </row>
    <row r="17" spans="2:10" ht="15.6">
      <c r="B17" s="97" t="s">
        <v>1091</v>
      </c>
      <c r="C17" s="97"/>
      <c r="D17" s="97"/>
      <c r="E17" s="97"/>
      <c r="G17" s="97" t="s">
        <v>1092</v>
      </c>
      <c r="H17" s="97"/>
      <c r="I17" s="97"/>
      <c r="J17" s="97"/>
    </row>
    <row r="18" spans="2:10">
      <c r="B18" s="32" t="s">
        <v>3</v>
      </c>
      <c r="C18" s="32" t="s">
        <v>1093</v>
      </c>
      <c r="D18" s="32" t="s">
        <v>1094</v>
      </c>
      <c r="E18" s="32" t="s">
        <v>1095</v>
      </c>
      <c r="G18" s="40" t="s">
        <v>1096</v>
      </c>
      <c r="H18" s="40" t="s">
        <v>1083</v>
      </c>
    </row>
    <row r="19" spans="2:10">
      <c r="B19" s="33" t="s">
        <v>1097</v>
      </c>
      <c r="C19" s="33" cm="1">
        <f t="array" ref="C19">SUMPRODUCT((UPPER(Tabla1[Personal])="MECÁNICO")*1)</f>
        <v>86</v>
      </c>
      <c r="D19" s="33" cm="1">
        <f t="array" ref="D19">SUMPRODUCT((UPPER(Tabla1[Personal])="MECÁNICO")*(UPPER(Tabla1[Estatus])="CERRADO")*1)</f>
        <v>47</v>
      </c>
      <c r="E19" s="34">
        <f>IF(C19&gt;0,D19/C19,0)</f>
        <v>0.54651162790697672</v>
      </c>
      <c r="G19" s="49" t="s">
        <v>1098</v>
      </c>
      <c r="H19" s="49" cm="1">
        <f t="array" ref="H19">SUMPRODUCT((UPPER(Tabla1[Estatus])="CERRADO")*1)</f>
        <v>356</v>
      </c>
    </row>
    <row r="20" spans="2:10">
      <c r="B20" s="33" t="s">
        <v>1099</v>
      </c>
      <c r="C20" s="33" cm="1">
        <f t="array" ref="C20">SUMPRODUCT((UPPER(Tabla1[Personal])="OPERADOR")*1)</f>
        <v>263</v>
      </c>
      <c r="D20" s="33" cm="1">
        <f t="array" ref="D20">SUMPRODUCT((UPPER(Tabla1[Personal])="OPERADOR")*(UPPER(Tabla1[Estatus])="CERRADO")*1)</f>
        <v>144</v>
      </c>
      <c r="E20" s="34">
        <f>IF(C20&gt;0,D20/C20,0)</f>
        <v>0.54752851711026618</v>
      </c>
      <c r="G20" s="50" t="s">
        <v>1100</v>
      </c>
      <c r="H20" s="50" cm="1">
        <f t="array" ref="H20">ROWS(Tabla1[Estatus])-SUMPRODUCT((UPPER(Tabla1[Estatus])="CERRADO")*1)</f>
        <v>322</v>
      </c>
    </row>
    <row r="21" spans="2:10">
      <c r="B21" s="33" t="s">
        <v>1101</v>
      </c>
      <c r="C21" s="33" cm="1">
        <f t="array" ref="C21">SUMPRODUCT((UPPER(Tabla1[Personal])="ELECTRICO")*1)+SUMPRODUCT((UPPER(Tabla1[Personal])="ELÉCTRICO")*1)+SUMPRODUCT((UPPER(Tabla1[Personal])="ELECTRICISTA")*1)</f>
        <v>156</v>
      </c>
      <c r="D21" s="33" cm="1">
        <f t="array" ref="D21">SUMPRODUCT((UPPER(Tabla1[Personal])="ELECTRICO")*(UPPER(Tabla1[Estatus])="CERRADO")*1)+SUMPRODUCT((UPPER(Tabla1[Personal])="ELÉCTRICO")*(UPPER(Tabla1[Estatus])="CERRADO")*1)+SUMPRODUCT((UPPER(Tabla1[Personal])="ELECTRICISTA")*(UPPER(Tabla1[Estatus])="CERRADO")*1)</f>
        <v>89</v>
      </c>
      <c r="E21" s="34">
        <f>IF(C21&gt;0,D21/C21,0)</f>
        <v>0.57051282051282048</v>
      </c>
    </row>
    <row r="22" spans="2:10">
      <c r="B22" s="38" t="s">
        <v>1090</v>
      </c>
      <c r="C22" s="38">
        <f>SUM(C19:C21)</f>
        <v>505</v>
      </c>
      <c r="D22" s="38">
        <f>SUM(D19:D21)</f>
        <v>280</v>
      </c>
      <c r="E22" s="39">
        <f>IF(C22&gt;0,D22/C22,0)</f>
        <v>0.5544554455445545</v>
      </c>
    </row>
    <row r="24" spans="2:10" ht="15.6">
      <c r="B24" s="83" t="s">
        <v>1102</v>
      </c>
      <c r="C24" s="84"/>
      <c r="D24" s="84"/>
      <c r="E24" s="85"/>
    </row>
    <row r="25" spans="2:10">
      <c r="B25" s="43" t="str" cm="1">
        <f t="array" ref="B25">"• Se completaron "&amp;SUMPRODUCT((UPPER(Tabla1[Estatus])="CERRADO")*1)&amp;" de "&amp;ROWS(Tabla1[Estatus])&amp;" órdenes programadas"</f>
        <v>• Se completaron 356 de 678 órdenes programadas</v>
      </c>
      <c r="C25" s="41"/>
      <c r="D25" s="41"/>
      <c r="E25" s="45"/>
    </row>
    <row r="26" spans="2:10">
      <c r="B26" s="43" t="str" cm="1">
        <f t="array" ref="B26">"• Porcentaje de cumplimiento del plan: "&amp;TEXT(SUMPRODUCT((UPPER(Tabla1[Estatus])="CERRADO")*1)/ROWS(Tabla1[Estatus]),"0.0%")</f>
        <v>• Porcentaje de cumplimiento del plan: 53%</v>
      </c>
      <c r="C26" s="41"/>
      <c r="D26" s="41"/>
      <c r="E26" s="45"/>
    </row>
    <row r="27" spans="2:10">
      <c r="B27" s="43" t="str" cm="1">
        <f t="array" ref="B27">"• Órdenes pendientes por atender: "&amp;(ROWS(Tabla1[Estatus])-SUMPRODUCT((UPPER(Tabla1[Estatus])="CERRADO")*1))&amp;" ("&amp;TEXT((ROWS(Tabla1[Estatus])-SUMPRODUCT((UPPER(Tabla1[Estatus])="CERRADO")*1))/ROWS(Tabla1[Estatus]),"0.0%")&amp;")"</f>
        <v>• Órdenes pendientes por atender: 322 (47%)</v>
      </c>
      <c r="C27" s="41"/>
      <c r="D27" s="41"/>
      <c r="E27" s="45"/>
    </row>
    <row r="28" spans="2:10">
      <c r="B28" s="44" t="str" cm="1">
        <f t="array" ref="B28">"• Mayor volumen de trabajo: Operadores con "&amp;SUMPRODUCT((UPPER(Tabla1[Personal])="OPERADOR")*1)&amp;" órdenes asignadas"</f>
        <v>• Mayor volumen de trabajo: Operadores con 263 órdenes asignadas</v>
      </c>
      <c r="C28" s="42"/>
      <c r="D28" s="42"/>
      <c r="E28" s="46"/>
    </row>
    <row r="30" spans="2:10">
      <c r="B30" s="48" t="s">
        <v>1103</v>
      </c>
    </row>
  </sheetData>
  <mergeCells count="15">
    <mergeCell ref="B24:E24"/>
    <mergeCell ref="B2:K2"/>
    <mergeCell ref="B3:K3"/>
    <mergeCell ref="B5:K5"/>
    <mergeCell ref="B7:D7"/>
    <mergeCell ref="B8:D8"/>
    <mergeCell ref="E7:G7"/>
    <mergeCell ref="E8:G8"/>
    <mergeCell ref="H7:J7"/>
    <mergeCell ref="H8:J8"/>
    <mergeCell ref="B10:D10"/>
    <mergeCell ref="B11:D12"/>
    <mergeCell ref="E10:J10"/>
    <mergeCell ref="B17:E17"/>
    <mergeCell ref="G17:J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5DEE649CD1F0F4FB294C9F8C940101B" ma:contentTypeVersion="10" ma:contentTypeDescription="Crear nuevo documento." ma:contentTypeScope="" ma:versionID="939a732068bc3a1b67274939a3081417">
  <xsd:schema xmlns:xsd="http://www.w3.org/2001/XMLSchema" xmlns:xs="http://www.w3.org/2001/XMLSchema" xmlns:p="http://schemas.microsoft.com/office/2006/metadata/properties" xmlns:ns2="d27ce59a-1a81-41ae-8a66-76deb1564a8b" xmlns:ns3="b95509b5-bb3e-4894-902c-4fe38ae01b8f" targetNamespace="http://schemas.microsoft.com/office/2006/metadata/properties" ma:root="true" ma:fieldsID="d097f0b19bdf556196ecd3c28aec69ed" ns2:_="" ns3:_="">
    <xsd:import namespace="d27ce59a-1a81-41ae-8a66-76deb1564a8b"/>
    <xsd:import namespace="b95509b5-bb3e-4894-902c-4fe38ae01b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ce59a-1a81-41ae-8a66-76deb1564a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c08b699-7b95-45b6-9af8-90b788834b7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5509b5-bb3e-4894-902c-4fe38ae01b8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0ab2e7-ffc9-4b2c-b1e9-6d7c8a3bfa5b}" ma:internalName="TaxCatchAll" ma:showField="CatchAllData" ma:web="b95509b5-bb3e-4894-902c-4fe38ae01b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7ce59a-1a81-41ae-8a66-76deb1564a8b">
      <Terms xmlns="http://schemas.microsoft.com/office/infopath/2007/PartnerControls"/>
    </lcf76f155ced4ddcb4097134ff3c332f>
    <TaxCatchAll xmlns="b95509b5-bb3e-4894-902c-4fe38ae01b8f" xsi:nil="true"/>
  </documentManagement>
</p:properties>
</file>

<file path=customXml/itemProps1.xml><?xml version="1.0" encoding="utf-8"?>
<ds:datastoreItem xmlns:ds="http://schemas.openxmlformats.org/officeDocument/2006/customXml" ds:itemID="{390AF47F-5767-43F9-AD44-01147A1DFDBD}"/>
</file>

<file path=customXml/itemProps2.xml><?xml version="1.0" encoding="utf-8"?>
<ds:datastoreItem xmlns:ds="http://schemas.openxmlformats.org/officeDocument/2006/customXml" ds:itemID="{A9DE9BA9-9A26-40B4-B0F9-1E5F0478636A}"/>
</file>

<file path=customXml/itemProps3.xml><?xml version="1.0" encoding="utf-8"?>
<ds:datastoreItem xmlns:ds="http://schemas.openxmlformats.org/officeDocument/2006/customXml" ds:itemID="{F800C3AC-703D-4A01-9E61-EFF8014427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Gerardo Flores</cp:lastModifiedBy>
  <cp:revision/>
  <dcterms:created xsi:type="dcterms:W3CDTF">2026-05-14T17:56:13Z</dcterms:created>
  <dcterms:modified xsi:type="dcterms:W3CDTF">2026-10-21T02:59:06Z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1e2d30-620b-4ad6-9852-21b54305a704_Enabled">
    <vt:lpwstr>true</vt:lpwstr>
  </property>
  <property fmtid="{D5CDD505-2E9C-101B-9397-08002B2CF9AE}" pid="3" name="MSIP_Label_e01e2d30-620b-4ad6-9852-21b54305a704_SetDate">
    <vt:lpwstr>2026-08-31T17:44:39Z</vt:lpwstr>
  </property>
  <property fmtid="{D5CDD505-2E9C-101B-9397-08002B2CF9AE}" pid="4" name="MSIP_Label_e01e2d30-620b-4ad6-9852-21b54305a704_Method">
    <vt:lpwstr>Standard</vt:lpwstr>
  </property>
  <property fmtid="{D5CDD505-2E9C-101B-9397-08002B2CF9AE}" pid="5" name="MSIP_Label_e01e2d30-620b-4ad6-9852-21b54305a704_Name">
    <vt:lpwstr>Publica</vt:lpwstr>
  </property>
  <property fmtid="{D5CDD505-2E9C-101B-9397-08002B2CF9AE}" pid="6" name="MSIP_Label_e01e2d30-620b-4ad6-9852-21b54305a704_SiteId">
    <vt:lpwstr>b7c239a6-861b-4a57-9974-78b59dcf80b8</vt:lpwstr>
  </property>
  <property fmtid="{D5CDD505-2E9C-101B-9397-08002B2CF9AE}" pid="7" name="MSIP_Label_e01e2d30-620b-4ad6-9852-21b54305a704_ActionId">
    <vt:lpwstr>6bd72ab7-aa7d-4375-bfbc-2744d35ad519</vt:lpwstr>
  </property>
  <property fmtid="{D5CDD505-2E9C-101B-9397-08002B2CF9AE}" pid="8" name="MSIP_Label_e01e2d30-620b-4ad6-9852-21b54305a704_ContentBits">
    <vt:lpwstr>0</vt:lpwstr>
  </property>
  <property fmtid="{D5CDD505-2E9C-101B-9397-08002B2CF9AE}" pid="9" name="MSIP_Label_e01e2d30-620b-4ad6-9852-21b54305a704_Tag">
    <vt:lpwstr>10, 3, 0, 2</vt:lpwstr>
  </property>
  <property fmtid="{D5CDD505-2E9C-101B-9397-08002B2CF9AE}" pid="10" name="ContentTypeId">
    <vt:lpwstr>0x01010065DEE649CD1F0F4FB294C9F8C940101B</vt:lpwstr>
  </property>
  <property fmtid="{D5CDD505-2E9C-101B-9397-08002B2CF9AE}" pid="11" name="MediaServiceImageTags">
    <vt:lpwstr/>
  </property>
</Properties>
</file>